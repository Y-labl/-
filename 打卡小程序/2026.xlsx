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 Files\mhxy\打卡小程序\"/>
    </mc:Choice>
  </mc:AlternateContent>
  <xr:revisionPtr revIDLastSave="0" documentId="13_ncr:1_{5A02D2AD-1E26-4AF4-8486-C25E6004380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总计" sheetId="1" r:id="rId1"/>
    <sheet name="一月" sheetId="2" r:id="rId2"/>
    <sheet name="二月" sheetId="3" r:id="rId3"/>
    <sheet name="三月" sheetId="4" r:id="rId4"/>
    <sheet name="四月" sheetId="5" r:id="rId5"/>
    <sheet name="五月" sheetId="6" r:id="rId6"/>
    <sheet name="六月" sheetId="7" r:id="rId7"/>
    <sheet name="七月" sheetId="8" r:id="rId8"/>
    <sheet name="八月" sheetId="9" r:id="rId9"/>
    <sheet name="九月" sheetId="10" r:id="rId10"/>
    <sheet name="十月" sheetId="11" r:id="rId11"/>
    <sheet name="十一月" sheetId="12" r:id="rId12"/>
    <sheet name="十二月" sheetId="13" r:id="rId13"/>
  </sheets>
  <calcPr calcId="181029"/>
</workbook>
</file>

<file path=xl/calcChain.xml><?xml version="1.0" encoding="utf-8"?>
<calcChain xmlns="http://schemas.openxmlformats.org/spreadsheetml/2006/main">
  <c r="G34" i="13" l="1"/>
  <c r="C34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34" i="13" s="1"/>
  <c r="B13" i="1" s="1"/>
  <c r="G33" i="12"/>
  <c r="C33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33" i="12" s="1"/>
  <c r="B12" i="1" s="1"/>
  <c r="G34" i="11"/>
  <c r="C34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34" i="11" s="1"/>
  <c r="B11" i="1" s="1"/>
  <c r="G33" i="10"/>
  <c r="C33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33" i="10" s="1"/>
  <c r="B10" i="1" s="1"/>
  <c r="G34" i="9"/>
  <c r="C34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4" i="9" s="1"/>
  <c r="B9" i="1" s="1"/>
  <c r="G34" i="8"/>
  <c r="C34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34" i="8" s="1"/>
  <c r="B8" i="1" s="1"/>
  <c r="G33" i="7"/>
  <c r="C33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33" i="7" s="1"/>
  <c r="B7" i="1" s="1"/>
  <c r="E2" i="7"/>
  <c r="G34" i="6"/>
  <c r="C34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34" i="6" s="1"/>
  <c r="B6" i="1" s="1"/>
  <c r="G34" i="5"/>
  <c r="C34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34" i="5" s="1"/>
  <c r="B5" i="1" s="1"/>
  <c r="E2" i="5"/>
  <c r="G35" i="4"/>
  <c r="C35" i="4"/>
  <c r="E33" i="4"/>
  <c r="F32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5" i="4" s="1"/>
  <c r="B4" i="1" s="1"/>
  <c r="G32" i="3"/>
  <c r="C32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2" i="3" s="1"/>
  <c r="B3" i="1" s="1"/>
  <c r="E5" i="3"/>
  <c r="E4" i="3"/>
  <c r="E3" i="3"/>
  <c r="E2" i="3"/>
  <c r="G35" i="2"/>
  <c r="C35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5" i="2" s="1"/>
  <c r="B2" i="1" s="1"/>
  <c r="C13" i="1"/>
  <c r="C12" i="1"/>
  <c r="C11" i="1"/>
  <c r="C10" i="1"/>
  <c r="C9" i="1"/>
  <c r="C8" i="1"/>
  <c r="C7" i="1"/>
  <c r="C6" i="1"/>
  <c r="C5" i="1"/>
  <c r="C4" i="1"/>
  <c r="C3" i="1"/>
  <c r="C2" i="1"/>
  <c r="C14" i="1" s="1"/>
  <c r="B14" i="1" l="1"/>
</calcChain>
</file>

<file path=xl/sharedStrings.xml><?xml version="1.0" encoding="utf-8"?>
<sst xmlns="http://schemas.openxmlformats.org/spreadsheetml/2006/main" count="479" uniqueCount="32">
  <si>
    <t>月份</t>
  </si>
  <si>
    <t>总收入</t>
  </si>
  <si>
    <t>休假天数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</si>
  <si>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</si>
  <si>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</si>
  <si>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</si>
  <si>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</si>
  <si>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</si>
  <si>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</si>
  <si>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</si>
  <si>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</si>
  <si>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</si>
  <si>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</si>
  <si>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</si>
  <si>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</si>
  <si>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</si>
  <si>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星期</t>
  </si>
  <si>
    <t>工作量</t>
  </si>
  <si>
    <t>单价</t>
  </si>
  <si>
    <t>收入</t>
  </si>
  <si>
    <t>支出说明</t>
  </si>
  <si>
    <t>备注</t>
  </si>
  <si>
    <t>星期三</t>
  </si>
  <si>
    <t>星期四</t>
  </si>
  <si>
    <t>星期五</t>
  </si>
  <si>
    <t>星期六</t>
  </si>
  <si>
    <t>星期日</t>
  </si>
  <si>
    <t>星期一</t>
  </si>
  <si>
    <t>星期二</t>
  </si>
  <si>
    <t>总计：</t>
  </si>
  <si>
    <t>清明</t>
  </si>
  <si>
    <t>小费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</si>
</sst>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yyyy\-mm\-dd;@"/>
  </numFmts>
  <fonts count="17">
    <font>
      <sz val="11"/>
      <name val="Microsoft YaHei"/>
    </font>
    <font>
      <b/>
      <sz val="11"/>
      <name val="Microsoft YaHei"/>
      <family val="2"/>
      <charset val="134"/>
    </font>
    <font>
      <b/>
      <sz val="12"/>
      <name val="Arial"/>
    </font>
    <font>
      <b/>
      <sz val="14"/>
      <name val="Arial"/>
    </font>
    <font>
      <b/>
      <sz val="14"/>
      <color rgb="FFD041E1"/>
      <name val="Arial"/>
    </font>
    <font>
      <b/>
      <sz val="12"/>
      <color rgb="FFFF0000"/>
      <name val="Arial"/>
    </font>
    <font>
      <b/>
      <sz val="14"/>
      <color rgb="FF92D050"/>
      <name val="Arial"/>
    </font>
    <font>
      <b/>
      <sz val="11"/>
      <name val="KaiTi"/>
      <family val="3"/>
      <charset val="134"/>
    </font>
    <font>
      <b/>
      <sz val="11"/>
      <color rgb="FFFF0000"/>
      <name val="Microsoft YaHei"/>
      <family val="2"/>
      <charset val="134"/>
    </font>
    <font>
      <b/>
      <sz val="14"/>
      <color rgb="FF92D050"/>
      <name val="Microsoft YaHei"/>
      <family val="2"/>
      <charset val="134"/>
    </font>
    <font>
      <b/>
      <sz val="11"/>
      <color rgb="FF0A205C"/>
      <name val="Microsoft YaHei"/>
      <family val="2"/>
      <charset val="134"/>
    </font>
    <font>
      <b/>
      <sz val="14"/>
      <color rgb="FFD041E1"/>
      <name val="Microsoft YaHei"/>
      <family val="2"/>
      <charset val="134"/>
    </font>
    <font>
      <b/>
      <sz val="14"/>
      <color rgb="FF87C120"/>
      <name val="Microsoft YaHei"/>
      <family val="2"/>
      <charset val="134"/>
    </font>
    <font>
      <b/>
      <sz val="14"/>
      <name val="Microsoft YaHei"/>
      <family val="2"/>
      <charset val="134"/>
    </font>
    <font>
      <b/>
      <sz val="14"/>
      <color rgb="FF00B05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53AEE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总计"/>
  <dimension ref="A1:D14"/>
  <sheetViews>
    <sheetView workbookViewId="0"/>
  </sheetViews>
  <sheetFormatPr defaultColWidth="14.21875" defaultRowHeight="18" customHeight="1"/>
  <sheetData>
    <row r="1" spans="1:4" ht="18" customHeight="1">
      <c r="A1" s="1" t="s">
        <v>0</v>
      </c>
      <c r="B1" s="1" t="s">
        <v>1</v>
      </c>
      <c r="C1" s="1" t="s">
        <v>2</v>
      </c>
      <c r="D1" s="1"/>
    </row>
    <row r="2" spans="1:4" ht="18" customHeight="1">
      <c r="A2" s="1" t="s">
        <v>3</v>
      </c>
      <c r="B2" s="1">
        <f>一月!E35</f>
        <v>4815.54</v>
      </c>
      <c r="C2" s="1">
        <f>一月!G35</f>
        <v>12</v>
      </c>
      <c r="D2" s="1"/>
    </row>
    <row r="3" spans="1:4" ht="18" customHeight="1">
      <c r="A3" s="1" t="s">
        <v>4</v>
      </c>
      <c r="B3" s="1">
        <f>二月!E32</f>
        <v>5568.84</v>
      </c>
      <c r="C3" s="1">
        <f>二月!G32</f>
        <v>6</v>
      </c>
      <c r="D3" s="1"/>
    </row>
    <row r="4" spans="1:4" ht="18" customHeight="1">
      <c r="A4" s="1" t="s">
        <v>5</v>
      </c>
      <c r="B4" s="1">
        <f>三月!E35</f>
        <v>6125.9600000000009</v>
      </c>
      <c r="C4" s="1">
        <f>三月!G35</f>
        <v>7</v>
      </c>
      <c r="D4" s="1"/>
    </row>
    <row r="5" spans="1:4" ht="18" customHeight="1">
      <c r="A5" s="1" t="s">
        <v>6</v>
      </c>
      <c r="B5" s="1">
        <f>四月!E34</f>
        <v>3842.7599999999998</v>
      </c>
      <c r="C5" s="1">
        <f>四月!G34</f>
        <v>8</v>
      </c>
      <c r="D5" s="1"/>
    </row>
    <row r="6" spans="1:4" ht="18" customHeight="1">
      <c r="A6" s="1" t="s">
        <v>7</v>
      </c>
      <c r="B6" s="1">
        <f>五月!E34</f>
        <v>0</v>
      </c>
      <c r="C6" s="1">
        <f>五月!G34</f>
        <v>0</v>
      </c>
      <c r="D6" s="1"/>
    </row>
    <row r="7" spans="1:4" ht="18" customHeight="1">
      <c r="A7" s="1" t="s">
        <v>8</v>
      </c>
      <c r="B7" s="1">
        <f>六月!E33</f>
        <v>0</v>
      </c>
      <c r="C7" s="1">
        <f>六月!G33</f>
        <v>0</v>
      </c>
      <c r="D7" s="1"/>
    </row>
    <row r="8" spans="1:4" ht="18" customHeight="1">
      <c r="A8" s="1" t="s">
        <v>9</v>
      </c>
      <c r="B8" s="1">
        <f>七月!E34</f>
        <v>0</v>
      </c>
      <c r="C8" s="1">
        <f>七月!G34</f>
        <v>0</v>
      </c>
      <c r="D8" s="1"/>
    </row>
    <row r="9" spans="1:4" ht="18" customHeight="1">
      <c r="A9" s="1" t="s">
        <v>10</v>
      </c>
      <c r="B9" s="1">
        <f>八月!E34</f>
        <v>0</v>
      </c>
      <c r="C9" s="1">
        <f>八月!G34</f>
        <v>0</v>
      </c>
      <c r="D9" s="1"/>
    </row>
    <row r="10" spans="1:4" ht="18" customHeight="1">
      <c r="A10" s="1" t="s">
        <v>11</v>
      </c>
      <c r="B10" s="1">
        <f>九月!E33</f>
        <v>0</v>
      </c>
      <c r="C10" s="1">
        <f>九月!G33</f>
        <v>0</v>
      </c>
      <c r="D10" s="1"/>
    </row>
    <row r="11" spans="1:4" ht="18" customHeight="1">
      <c r="A11" s="1" t="s">
        <v>12</v>
      </c>
      <c r="B11" s="1">
        <f>十月!E34</f>
        <v>0</v>
      </c>
      <c r="C11" s="1">
        <f>十月!G34</f>
        <v>0</v>
      </c>
      <c r="D11" s="1"/>
    </row>
    <row r="12" spans="1:4" ht="18" customHeight="1">
      <c r="A12" s="1" t="s">
        <v>13</v>
      </c>
      <c r="B12" s="2">
        <f>十一月!E33</f>
        <v>0</v>
      </c>
      <c r="C12" s="2">
        <f>十一月!G33</f>
        <v>0</v>
      </c>
      <c r="D12" s="2"/>
    </row>
    <row r="13" spans="1:4" ht="18" customHeight="1">
      <c r="A13" s="2" t="s">
        <v>14</v>
      </c>
      <c r="B13" s="2">
        <f>十二月!E34</f>
        <v>0</v>
      </c>
      <c r="C13" s="3">
        <f>十二月!G34</f>
        <v>0</v>
      </c>
      <c r="D13" s="2"/>
    </row>
    <row r="14" spans="1:4" ht="18" customHeight="1">
      <c r="A14" s="1" t="s">
        <v>15</v>
      </c>
      <c r="B14" s="1">
        <f>SUM(B2:B13)</f>
        <v>20353.100000000002</v>
      </c>
      <c r="C14" s="1">
        <f>SUM(C2:C13)</f>
        <v>33</v>
      </c>
      <c r="D14" s="1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一月"/>
  <dimension ref="A1:H35"/>
  <sheetViews>
    <sheetView tabSelected="1"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46043</v>
      </c>
      <c r="B2" s="10" t="s">
        <v>22</v>
      </c>
      <c r="C2" s="1">
        <v>14.2</v>
      </c>
      <c r="D2" s="11">
        <v>18.600000000000001</v>
      </c>
      <c r="E2" s="12">
        <f t="shared" ref="E2:E32" si="0">C2*D2</f>
        <v>264.12</v>
      </c>
      <c r="F2" s="1"/>
      <c r="G2" s="1"/>
      <c r="H2" s="1"/>
    </row>
    <row r="3" spans="1:8" ht="18" customHeight="1">
      <c r="A3" s="9">
        <v>46044</v>
      </c>
      <c r="B3" s="10" t="s">
        <v>23</v>
      </c>
      <c r="C3" s="1">
        <v>13.7</v>
      </c>
      <c r="D3" s="11">
        <v>18.600000000000001</v>
      </c>
      <c r="E3" s="12">
        <f t="shared" si="0"/>
        <v>254.82</v>
      </c>
      <c r="F3" s="1"/>
      <c r="G3" s="1"/>
      <c r="H3" s="1"/>
    </row>
    <row r="4" spans="1:8" ht="18" customHeight="1">
      <c r="A4" s="9">
        <v>46045</v>
      </c>
      <c r="B4" s="10" t="s">
        <v>24</v>
      </c>
      <c r="C4" s="1">
        <v>13.7</v>
      </c>
      <c r="D4" s="11">
        <v>18.600000000000001</v>
      </c>
      <c r="E4" s="12">
        <f t="shared" si="0"/>
        <v>254.82</v>
      </c>
      <c r="F4" s="1"/>
      <c r="G4" s="1"/>
      <c r="H4" s="1"/>
    </row>
    <row r="5" spans="1:8" ht="18" customHeight="1">
      <c r="A5" s="9">
        <v>46046</v>
      </c>
      <c r="B5" s="10" t="s">
        <v>25</v>
      </c>
      <c r="C5" s="1">
        <v>14.7</v>
      </c>
      <c r="D5" s="11">
        <v>18.600000000000001</v>
      </c>
      <c r="E5" s="12">
        <f t="shared" si="0"/>
        <v>273.42</v>
      </c>
      <c r="F5" s="1"/>
      <c r="G5" s="1"/>
      <c r="H5" s="1"/>
    </row>
    <row r="6" spans="1:8" ht="18" customHeight="1">
      <c r="A6" s="9">
        <v>46047</v>
      </c>
      <c r="B6" s="10" t="s">
        <v>26</v>
      </c>
      <c r="C6" s="1">
        <v>13</v>
      </c>
      <c r="D6" s="11">
        <v>18.600000000000001</v>
      </c>
      <c r="E6" s="12">
        <f t="shared" si="0"/>
        <v>241.8</v>
      </c>
      <c r="F6" s="1"/>
      <c r="G6" s="1"/>
      <c r="H6" s="1"/>
    </row>
    <row r="7" spans="1:8" ht="18" customHeight="1">
      <c r="A7" s="9">
        <v>46048</v>
      </c>
      <c r="B7" s="10" t="s">
        <v>27</v>
      </c>
      <c r="C7" s="1">
        <v>12</v>
      </c>
      <c r="D7" s="11">
        <v>18.600000000000001</v>
      </c>
      <c r="E7" s="12">
        <f t="shared" si="0"/>
        <v>223.20000000000002</v>
      </c>
      <c r="F7" s="1"/>
      <c r="G7" s="1"/>
      <c r="H7" s="1"/>
    </row>
    <row r="8" spans="1:8" ht="18" customHeight="1">
      <c r="A8" s="9">
        <v>46049</v>
      </c>
      <c r="B8" s="10" t="s">
        <v>28</v>
      </c>
      <c r="C8" s="1">
        <v>12.5</v>
      </c>
      <c r="D8" s="11">
        <v>18.600000000000001</v>
      </c>
      <c r="E8" s="12">
        <f t="shared" si="0"/>
        <v>232.50000000000003</v>
      </c>
      <c r="F8" s="1"/>
      <c r="G8" s="1"/>
      <c r="H8" s="1"/>
    </row>
    <row r="9" spans="1:8" ht="18" customHeight="1">
      <c r="A9" s="9">
        <v>46050</v>
      </c>
      <c r="B9" s="10" t="s">
        <v>22</v>
      </c>
      <c r="C9" s="1">
        <v>0</v>
      </c>
      <c r="D9" s="11">
        <v>18.600000000000001</v>
      </c>
      <c r="E9" s="12">
        <f t="shared" si="0"/>
        <v>0</v>
      </c>
      <c r="F9" s="1"/>
      <c r="G9" s="1">
        <v>1</v>
      </c>
      <c r="H9" s="1"/>
    </row>
    <row r="10" spans="1:8" ht="18" customHeight="1">
      <c r="A10" s="9">
        <v>46051</v>
      </c>
      <c r="B10" s="10" t="s">
        <v>23</v>
      </c>
      <c r="C10" s="1">
        <v>0</v>
      </c>
      <c r="D10" s="11">
        <v>18.600000000000001</v>
      </c>
      <c r="E10" s="12">
        <f t="shared" si="0"/>
        <v>0</v>
      </c>
      <c r="F10" s="1"/>
      <c r="G10" s="1">
        <v>1</v>
      </c>
      <c r="H10" s="1"/>
    </row>
    <row r="11" spans="1:8" ht="18" customHeight="1">
      <c r="A11" s="9">
        <v>46052</v>
      </c>
      <c r="B11" s="10" t="s">
        <v>24</v>
      </c>
      <c r="C11" s="1">
        <v>13.2</v>
      </c>
      <c r="D11" s="11">
        <v>18.600000000000001</v>
      </c>
      <c r="E11" s="12">
        <f t="shared" si="0"/>
        <v>245.52</v>
      </c>
      <c r="F11" s="1"/>
      <c r="G11" s="1"/>
      <c r="H11" s="1"/>
    </row>
    <row r="12" spans="1:8" ht="18" customHeight="1">
      <c r="A12" s="9">
        <v>46053</v>
      </c>
      <c r="B12" s="10" t="s">
        <v>25</v>
      </c>
      <c r="C12" s="1">
        <v>14.2</v>
      </c>
      <c r="D12" s="11">
        <v>18.600000000000001</v>
      </c>
      <c r="E12" s="12">
        <f t="shared" si="0"/>
        <v>264.12</v>
      </c>
      <c r="F12" s="1"/>
      <c r="G12" s="1"/>
      <c r="H12" s="1"/>
    </row>
    <row r="13" spans="1:8" ht="18" customHeight="1">
      <c r="A13" s="9">
        <v>46054</v>
      </c>
      <c r="B13" s="10" t="s">
        <v>26</v>
      </c>
      <c r="C13" s="1">
        <v>14</v>
      </c>
      <c r="D13" s="11">
        <v>18.600000000000001</v>
      </c>
      <c r="E13" s="12">
        <f t="shared" si="0"/>
        <v>260.40000000000003</v>
      </c>
      <c r="F13" s="1"/>
      <c r="G13" s="1"/>
      <c r="H13" s="1"/>
    </row>
    <row r="14" spans="1:8" ht="18" customHeight="1">
      <c r="A14" s="9">
        <v>46055</v>
      </c>
      <c r="B14" s="10" t="s">
        <v>27</v>
      </c>
      <c r="C14" s="1">
        <v>13.5</v>
      </c>
      <c r="D14" s="11">
        <v>18.600000000000001</v>
      </c>
      <c r="E14" s="12">
        <f t="shared" si="0"/>
        <v>251.10000000000002</v>
      </c>
      <c r="F14" s="1"/>
      <c r="G14" s="1"/>
      <c r="H14" s="1"/>
    </row>
    <row r="15" spans="1:8" ht="18" customHeight="1">
      <c r="A15" s="9">
        <v>46056</v>
      </c>
      <c r="B15" s="10" t="s">
        <v>28</v>
      </c>
      <c r="C15" s="1">
        <v>13.5</v>
      </c>
      <c r="D15" s="11">
        <v>18.600000000000001</v>
      </c>
      <c r="E15" s="12">
        <f t="shared" si="0"/>
        <v>251.10000000000002</v>
      </c>
      <c r="F15" s="1"/>
      <c r="G15" s="1"/>
      <c r="H15" s="1"/>
    </row>
    <row r="16" spans="1:8" ht="18" customHeight="1">
      <c r="A16" s="9">
        <v>46057</v>
      </c>
      <c r="B16" s="10" t="s">
        <v>22</v>
      </c>
      <c r="C16" s="1">
        <v>0</v>
      </c>
      <c r="D16" s="11">
        <v>18.600000000000001</v>
      </c>
      <c r="E16" s="12">
        <f t="shared" si="0"/>
        <v>0</v>
      </c>
      <c r="F16" s="1"/>
      <c r="G16" s="1">
        <v>1</v>
      </c>
      <c r="H16" s="1"/>
    </row>
    <row r="17" spans="1:8" ht="18" customHeight="1">
      <c r="A17" s="9">
        <v>46058</v>
      </c>
      <c r="B17" s="10" t="s">
        <v>23</v>
      </c>
      <c r="C17" s="1">
        <v>0</v>
      </c>
      <c r="D17" s="11">
        <v>18.600000000000001</v>
      </c>
      <c r="E17" s="12">
        <f t="shared" si="0"/>
        <v>0</v>
      </c>
      <c r="F17" s="1"/>
      <c r="G17" s="1">
        <v>1</v>
      </c>
      <c r="H17" s="1"/>
    </row>
    <row r="18" spans="1:8" ht="18" customHeight="1">
      <c r="A18" s="9">
        <v>46059</v>
      </c>
      <c r="B18" s="10" t="s">
        <v>24</v>
      </c>
      <c r="C18" s="1">
        <v>0</v>
      </c>
      <c r="D18" s="11">
        <v>18.600000000000001</v>
      </c>
      <c r="E18" s="12">
        <f t="shared" si="0"/>
        <v>0</v>
      </c>
      <c r="F18" s="1"/>
      <c r="G18" s="1">
        <v>1</v>
      </c>
      <c r="H18" s="1"/>
    </row>
    <row r="19" spans="1:8" ht="18" customHeight="1">
      <c r="A19" s="9">
        <v>46060</v>
      </c>
      <c r="B19" s="10" t="s">
        <v>25</v>
      </c>
      <c r="C19" s="1">
        <v>16</v>
      </c>
      <c r="D19" s="11">
        <v>18.600000000000001</v>
      </c>
      <c r="E19" s="12">
        <f t="shared" si="0"/>
        <v>297.60000000000002</v>
      </c>
      <c r="F19" s="1"/>
      <c r="G19" s="1"/>
      <c r="H19" s="1"/>
    </row>
    <row r="20" spans="1:8" ht="18" customHeight="1">
      <c r="A20" s="9">
        <v>46061</v>
      </c>
      <c r="B20" s="10" t="s">
        <v>26</v>
      </c>
      <c r="C20" s="1">
        <v>13.5</v>
      </c>
      <c r="D20" s="11">
        <v>18.600000000000001</v>
      </c>
      <c r="E20" s="12">
        <f t="shared" si="0"/>
        <v>251.10000000000002</v>
      </c>
      <c r="F20" s="1"/>
      <c r="G20" s="1"/>
      <c r="H20" s="1"/>
    </row>
    <row r="21" spans="1:8" ht="18" customHeight="1">
      <c r="A21" s="9">
        <v>46062</v>
      </c>
      <c r="B21" s="10" t="s">
        <v>27</v>
      </c>
      <c r="C21" s="13">
        <v>12.5</v>
      </c>
      <c r="D21" s="11">
        <v>18.600000000000001</v>
      </c>
      <c r="E21" s="12">
        <f t="shared" si="0"/>
        <v>232.50000000000003</v>
      </c>
      <c r="F21" s="1"/>
      <c r="G21" s="1"/>
      <c r="H21" s="1"/>
    </row>
    <row r="22" spans="1:8" ht="18" customHeight="1">
      <c r="A22" s="9">
        <v>46063</v>
      </c>
      <c r="B22" s="10" t="s">
        <v>28</v>
      </c>
      <c r="C22" s="14">
        <v>12.5</v>
      </c>
      <c r="D22" s="11">
        <v>18.600000000000001</v>
      </c>
      <c r="E22" s="12">
        <f t="shared" si="0"/>
        <v>232.50000000000003</v>
      </c>
      <c r="F22" s="1"/>
      <c r="G22" s="1"/>
      <c r="H22" s="1"/>
    </row>
    <row r="23" spans="1:8" ht="18" customHeight="1">
      <c r="A23" s="9">
        <v>46064</v>
      </c>
      <c r="B23" s="10" t="s">
        <v>22</v>
      </c>
      <c r="C23" s="1">
        <v>15</v>
      </c>
      <c r="D23" s="11">
        <v>18.600000000000001</v>
      </c>
      <c r="E23" s="12">
        <f t="shared" si="0"/>
        <v>279</v>
      </c>
      <c r="F23" s="1"/>
      <c r="G23" s="1"/>
      <c r="H23" s="1"/>
    </row>
    <row r="24" spans="1:8" ht="18" customHeight="1">
      <c r="A24" s="9">
        <v>46065</v>
      </c>
      <c r="B24" s="10" t="s">
        <v>23</v>
      </c>
      <c r="C24" s="1">
        <v>14.5</v>
      </c>
      <c r="D24" s="11">
        <v>18.600000000000001</v>
      </c>
      <c r="E24" s="12">
        <f t="shared" si="0"/>
        <v>269.70000000000005</v>
      </c>
      <c r="F24" s="1"/>
      <c r="G24" s="1"/>
      <c r="H24" s="1"/>
    </row>
    <row r="25" spans="1:8" ht="18" customHeight="1">
      <c r="A25" s="9">
        <v>46066</v>
      </c>
      <c r="B25" s="10" t="s">
        <v>24</v>
      </c>
      <c r="C25" s="1">
        <v>12.7</v>
      </c>
      <c r="D25" s="11">
        <v>18.600000000000001</v>
      </c>
      <c r="E25" s="12">
        <f t="shared" si="0"/>
        <v>236.22</v>
      </c>
      <c r="F25" s="1"/>
      <c r="G25" s="1"/>
      <c r="H25" s="1"/>
    </row>
    <row r="26" spans="1:8" ht="18" customHeight="1">
      <c r="A26" s="9">
        <v>46067</v>
      </c>
      <c r="B26" s="10" t="s">
        <v>25</v>
      </c>
      <c r="C26" s="1">
        <v>0</v>
      </c>
      <c r="D26" s="11">
        <v>18.600000000000001</v>
      </c>
      <c r="E26" s="12">
        <f t="shared" si="0"/>
        <v>0</v>
      </c>
      <c r="F26" s="1"/>
      <c r="G26" s="1">
        <v>1</v>
      </c>
      <c r="H26" s="1"/>
    </row>
    <row r="27" spans="1:8" ht="18" customHeight="1">
      <c r="A27" s="9">
        <v>46068</v>
      </c>
      <c r="B27" s="10" t="s">
        <v>26</v>
      </c>
      <c r="C27" s="1">
        <v>0</v>
      </c>
      <c r="D27" s="11">
        <v>18.600000000000001</v>
      </c>
      <c r="E27" s="12">
        <f t="shared" si="0"/>
        <v>0</v>
      </c>
      <c r="F27" s="1"/>
      <c r="G27" s="1">
        <v>1</v>
      </c>
      <c r="H27" s="1"/>
    </row>
    <row r="28" spans="1:8" ht="18" customHeight="1">
      <c r="A28" s="9">
        <v>46069</v>
      </c>
      <c r="B28" s="10" t="s">
        <v>27</v>
      </c>
      <c r="C28" s="1">
        <v>0</v>
      </c>
      <c r="D28" s="11">
        <v>18.600000000000001</v>
      </c>
      <c r="E28" s="12">
        <f t="shared" si="0"/>
        <v>0</v>
      </c>
      <c r="F28" s="1"/>
      <c r="G28" s="1">
        <v>1</v>
      </c>
      <c r="H28" s="1"/>
    </row>
    <row r="29" spans="1:8" ht="18" customHeight="1">
      <c r="A29" s="9">
        <v>46070</v>
      </c>
      <c r="B29" s="10" t="s">
        <v>28</v>
      </c>
      <c r="C29" s="1">
        <v>0</v>
      </c>
      <c r="D29" s="11">
        <v>18.600000000000001</v>
      </c>
      <c r="E29" s="12">
        <f t="shared" si="0"/>
        <v>0</v>
      </c>
      <c r="F29" s="1"/>
      <c r="G29" s="1">
        <v>1</v>
      </c>
      <c r="H29" s="1"/>
    </row>
    <row r="30" spans="1:8" ht="18" customHeight="1">
      <c r="A30" s="9">
        <v>46071</v>
      </c>
      <c r="B30" s="10" t="s">
        <v>22</v>
      </c>
      <c r="C30" s="1">
        <v>0</v>
      </c>
      <c r="D30" s="11">
        <v>18.600000000000001</v>
      </c>
      <c r="E30" s="12">
        <f t="shared" si="0"/>
        <v>0</v>
      </c>
      <c r="F30" s="1"/>
      <c r="G30" s="1">
        <v>1</v>
      </c>
      <c r="H30" s="1"/>
    </row>
    <row r="31" spans="1:8" ht="18" customHeight="1">
      <c r="A31" s="9">
        <v>46072</v>
      </c>
      <c r="B31" s="10" t="s">
        <v>23</v>
      </c>
      <c r="C31" s="1">
        <v>0</v>
      </c>
      <c r="D31" s="11">
        <v>18.600000000000001</v>
      </c>
      <c r="E31" s="12">
        <f t="shared" si="0"/>
        <v>0</v>
      </c>
      <c r="F31" s="1"/>
      <c r="G31" s="1">
        <v>1</v>
      </c>
      <c r="H31" s="1"/>
    </row>
    <row r="32" spans="1:8" ht="18" customHeight="1">
      <c r="A32" s="9">
        <v>46073</v>
      </c>
      <c r="B32" s="10" t="s">
        <v>24</v>
      </c>
      <c r="C32" s="15">
        <v>0</v>
      </c>
      <c r="D32" s="11">
        <v>18.600000000000001</v>
      </c>
      <c r="E32" s="12">
        <f t="shared" si="0"/>
        <v>0</v>
      </c>
      <c r="F32" s="16"/>
      <c r="G32" s="17">
        <v>1</v>
      </c>
      <c r="H32" s="18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19"/>
      <c r="B34" s="10"/>
      <c r="C34" s="15"/>
      <c r="D34" s="15"/>
      <c r="E34" s="20"/>
      <c r="F34" s="16"/>
      <c r="G34" s="17"/>
      <c r="H34" s="18"/>
    </row>
    <row r="35" spans="1:8" ht="18" customHeight="1">
      <c r="A35" s="21" t="s">
        <v>29</v>
      </c>
      <c r="B35" s="10"/>
      <c r="C35" s="15">
        <f>SUM(C2:C32)</f>
        <v>258.89999999999998</v>
      </c>
      <c r="D35" s="15"/>
      <c r="E35" s="20">
        <f>SUM(E2:E32)</f>
        <v>4815.54</v>
      </c>
      <c r="F35" s="16"/>
      <c r="G35" s="17">
        <f>SUM(G2:G32)</f>
        <v>12</v>
      </c>
      <c r="H35" s="18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二月"/>
  <dimension ref="A1:H32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46074</v>
      </c>
      <c r="B2" s="10" t="s">
        <v>25</v>
      </c>
      <c r="C2" s="1">
        <v>18.2</v>
      </c>
      <c r="D2" s="11">
        <v>18.600000000000001</v>
      </c>
      <c r="E2" s="12">
        <f t="shared" ref="E2:E29" si="0">C2*D2</f>
        <v>338.52000000000004</v>
      </c>
      <c r="F2" s="1"/>
      <c r="G2" s="1"/>
      <c r="H2" s="1"/>
    </row>
    <row r="3" spans="1:8" ht="18" customHeight="1">
      <c r="A3" s="9">
        <v>46075</v>
      </c>
      <c r="B3" s="10" t="s">
        <v>26</v>
      </c>
      <c r="C3" s="1">
        <v>14.2</v>
      </c>
      <c r="D3" s="11">
        <v>18.600000000000001</v>
      </c>
      <c r="E3" s="12">
        <f t="shared" si="0"/>
        <v>264.12</v>
      </c>
      <c r="F3" s="1"/>
      <c r="G3" s="1"/>
      <c r="H3" s="1"/>
    </row>
    <row r="4" spans="1:8" ht="18" customHeight="1">
      <c r="A4" s="9">
        <v>46076</v>
      </c>
      <c r="B4" s="10" t="s">
        <v>27</v>
      </c>
      <c r="C4" s="1">
        <v>12.7</v>
      </c>
      <c r="D4" s="11">
        <v>18.600000000000001</v>
      </c>
      <c r="E4" s="12">
        <f t="shared" si="0"/>
        <v>236.22</v>
      </c>
      <c r="F4" s="1"/>
      <c r="G4" s="1"/>
      <c r="H4" s="1"/>
    </row>
    <row r="5" spans="1:8" ht="18" customHeight="1">
      <c r="A5" s="9">
        <v>46077</v>
      </c>
      <c r="B5" s="10" t="s">
        <v>28</v>
      </c>
      <c r="C5" s="1">
        <v>14.2</v>
      </c>
      <c r="D5" s="11">
        <v>18.600000000000001</v>
      </c>
      <c r="E5" s="12">
        <f t="shared" si="0"/>
        <v>264.12</v>
      </c>
      <c r="F5" s="1"/>
      <c r="G5" s="1"/>
      <c r="H5" s="1"/>
    </row>
    <row r="6" spans="1:8" ht="18" customHeight="1">
      <c r="A6" s="9">
        <v>46078</v>
      </c>
      <c r="B6" s="10" t="s">
        <v>22</v>
      </c>
      <c r="C6" s="1">
        <v>13.5</v>
      </c>
      <c r="D6" s="11">
        <v>18.600000000000001</v>
      </c>
      <c r="E6" s="12">
        <f t="shared" si="0"/>
        <v>251.10000000000002</v>
      </c>
      <c r="F6" s="1"/>
      <c r="G6" s="1"/>
      <c r="H6" s="1"/>
    </row>
    <row r="7" spans="1:8" ht="18" customHeight="1">
      <c r="A7" s="9">
        <v>46079</v>
      </c>
      <c r="B7" s="10" t="s">
        <v>23</v>
      </c>
      <c r="C7" s="1">
        <v>11.7</v>
      </c>
      <c r="D7" s="11">
        <v>18.600000000000001</v>
      </c>
      <c r="E7" s="12">
        <f t="shared" si="0"/>
        <v>217.62</v>
      </c>
      <c r="F7" s="1"/>
      <c r="G7" s="1"/>
      <c r="H7" s="1"/>
    </row>
    <row r="8" spans="1:8" ht="18" customHeight="1">
      <c r="A8" s="9">
        <v>46080</v>
      </c>
      <c r="B8" s="10" t="s">
        <v>24</v>
      </c>
      <c r="C8" s="1">
        <v>11.5</v>
      </c>
      <c r="D8" s="11">
        <v>18.600000000000001</v>
      </c>
      <c r="E8" s="12">
        <f t="shared" si="0"/>
        <v>213.9</v>
      </c>
      <c r="F8" s="1"/>
      <c r="G8" s="1"/>
      <c r="H8" s="1"/>
    </row>
    <row r="9" spans="1:8" ht="18" customHeight="1">
      <c r="A9" s="9">
        <v>46081</v>
      </c>
      <c r="B9" s="10" t="s">
        <v>25</v>
      </c>
      <c r="C9" s="1">
        <v>0</v>
      </c>
      <c r="D9" s="11">
        <v>18.600000000000001</v>
      </c>
      <c r="E9" s="12">
        <f t="shared" si="0"/>
        <v>0</v>
      </c>
      <c r="F9" s="1"/>
      <c r="G9" s="1">
        <v>1</v>
      </c>
      <c r="H9" s="1"/>
    </row>
    <row r="10" spans="1:8" ht="18" customHeight="1">
      <c r="A10" s="9">
        <v>46082</v>
      </c>
      <c r="B10" s="10" t="s">
        <v>26</v>
      </c>
      <c r="C10" s="1">
        <v>0</v>
      </c>
      <c r="D10" s="11">
        <v>18.600000000000001</v>
      </c>
      <c r="E10" s="12">
        <f t="shared" si="0"/>
        <v>0</v>
      </c>
      <c r="F10" s="1"/>
      <c r="G10" s="1">
        <v>1</v>
      </c>
      <c r="H10" s="1"/>
    </row>
    <row r="11" spans="1:8" ht="18" customHeight="1">
      <c r="A11" s="9">
        <v>46083</v>
      </c>
      <c r="B11" s="10" t="s">
        <v>27</v>
      </c>
      <c r="C11" s="1">
        <v>13</v>
      </c>
      <c r="D11" s="11">
        <v>18.600000000000001</v>
      </c>
      <c r="E11" s="12">
        <f t="shared" si="0"/>
        <v>241.8</v>
      </c>
      <c r="F11" s="1"/>
      <c r="G11" s="1"/>
      <c r="H11" s="1"/>
    </row>
    <row r="12" spans="1:8" ht="18" customHeight="1">
      <c r="A12" s="9">
        <v>46084</v>
      </c>
      <c r="B12" s="10" t="s">
        <v>28</v>
      </c>
      <c r="C12" s="1">
        <v>14</v>
      </c>
      <c r="D12" s="11">
        <v>18.600000000000001</v>
      </c>
      <c r="E12" s="12">
        <f t="shared" si="0"/>
        <v>260.40000000000003</v>
      </c>
      <c r="F12" s="1"/>
      <c r="G12" s="1"/>
      <c r="H12" s="1"/>
    </row>
    <row r="13" spans="1:8" ht="18" customHeight="1">
      <c r="A13" s="9">
        <v>46085</v>
      </c>
      <c r="B13" s="10" t="s">
        <v>22</v>
      </c>
      <c r="C13" s="1">
        <v>14</v>
      </c>
      <c r="D13" s="11">
        <v>18.600000000000001</v>
      </c>
      <c r="E13" s="12">
        <f t="shared" si="0"/>
        <v>260.40000000000003</v>
      </c>
      <c r="F13" s="1"/>
      <c r="G13" s="1"/>
      <c r="H13" s="1"/>
    </row>
    <row r="14" spans="1:8" ht="18" customHeight="1">
      <c r="A14" s="9">
        <v>46086</v>
      </c>
      <c r="B14" s="10" t="s">
        <v>23</v>
      </c>
      <c r="C14" s="1">
        <v>14</v>
      </c>
      <c r="D14" s="11">
        <v>18.600000000000001</v>
      </c>
      <c r="E14" s="12">
        <f t="shared" si="0"/>
        <v>260.40000000000003</v>
      </c>
      <c r="F14" s="1"/>
      <c r="G14" s="1"/>
      <c r="H14" s="1"/>
    </row>
    <row r="15" spans="1:8" ht="18" customHeight="1">
      <c r="A15" s="9">
        <v>46087</v>
      </c>
      <c r="B15" s="10" t="s">
        <v>24</v>
      </c>
      <c r="C15" s="1">
        <v>15</v>
      </c>
      <c r="D15" s="11">
        <v>18.600000000000001</v>
      </c>
      <c r="E15" s="12">
        <f t="shared" si="0"/>
        <v>279</v>
      </c>
      <c r="F15" s="1"/>
      <c r="G15" s="1"/>
      <c r="H15" s="1"/>
    </row>
    <row r="16" spans="1:8" ht="18" customHeight="1">
      <c r="A16" s="9">
        <v>46088</v>
      </c>
      <c r="B16" s="10" t="s">
        <v>25</v>
      </c>
      <c r="C16" s="1">
        <v>0</v>
      </c>
      <c r="D16" s="11">
        <v>18.600000000000001</v>
      </c>
      <c r="E16" s="12">
        <f t="shared" si="0"/>
        <v>0</v>
      </c>
      <c r="F16" s="1"/>
      <c r="G16" s="1">
        <v>1</v>
      </c>
      <c r="H16" s="1"/>
    </row>
    <row r="17" spans="1:8" ht="18" customHeight="1">
      <c r="A17" s="9">
        <v>46089</v>
      </c>
      <c r="B17" s="10" t="s">
        <v>26</v>
      </c>
      <c r="C17" s="1">
        <v>0</v>
      </c>
      <c r="D17" s="11">
        <v>18.600000000000001</v>
      </c>
      <c r="E17" s="12">
        <f t="shared" si="0"/>
        <v>0</v>
      </c>
      <c r="F17" s="1"/>
      <c r="G17" s="1">
        <v>1</v>
      </c>
      <c r="H17" s="1"/>
    </row>
    <row r="18" spans="1:8" ht="18" customHeight="1">
      <c r="A18" s="9">
        <v>46090</v>
      </c>
      <c r="B18" s="10" t="s">
        <v>27</v>
      </c>
      <c r="C18" s="1">
        <v>0</v>
      </c>
      <c r="D18" s="11">
        <v>18.600000000000001</v>
      </c>
      <c r="E18" s="12">
        <f t="shared" si="0"/>
        <v>0</v>
      </c>
      <c r="F18" s="1"/>
      <c r="G18" s="1">
        <v>1</v>
      </c>
      <c r="H18" s="1"/>
    </row>
    <row r="19" spans="1:8" ht="18" customHeight="1">
      <c r="A19" s="9">
        <v>46091</v>
      </c>
      <c r="B19" s="10" t="s">
        <v>28</v>
      </c>
      <c r="C19" s="1">
        <v>10.5</v>
      </c>
      <c r="D19" s="11">
        <v>18.600000000000001</v>
      </c>
      <c r="E19" s="12">
        <f t="shared" si="0"/>
        <v>195.3</v>
      </c>
      <c r="F19" s="1"/>
      <c r="G19" s="1"/>
      <c r="H19" s="1"/>
    </row>
    <row r="20" spans="1:8" ht="18" customHeight="1">
      <c r="A20" s="9">
        <v>46092</v>
      </c>
      <c r="B20" s="10" t="s">
        <v>22</v>
      </c>
      <c r="C20" s="1">
        <v>14.5</v>
      </c>
      <c r="D20" s="11">
        <v>18.600000000000001</v>
      </c>
      <c r="E20" s="12">
        <f t="shared" si="0"/>
        <v>269.70000000000005</v>
      </c>
      <c r="F20" s="1"/>
      <c r="G20" s="1"/>
      <c r="H20" s="1"/>
    </row>
    <row r="21" spans="1:8" ht="18" customHeight="1">
      <c r="A21" s="9">
        <v>46093</v>
      </c>
      <c r="B21" s="10" t="s">
        <v>23</v>
      </c>
      <c r="C21" s="1">
        <v>12.5</v>
      </c>
      <c r="D21" s="11">
        <v>18.600000000000001</v>
      </c>
      <c r="E21" s="12">
        <f t="shared" si="0"/>
        <v>232.50000000000003</v>
      </c>
      <c r="F21" s="1"/>
      <c r="G21" s="1"/>
      <c r="H21" s="1"/>
    </row>
    <row r="22" spans="1:8" ht="18" customHeight="1">
      <c r="A22" s="9">
        <v>46094</v>
      </c>
      <c r="B22" s="10" t="s">
        <v>24</v>
      </c>
      <c r="C22" s="1">
        <v>14.7</v>
      </c>
      <c r="D22" s="11">
        <v>18.600000000000001</v>
      </c>
      <c r="E22" s="12">
        <f t="shared" si="0"/>
        <v>273.42</v>
      </c>
      <c r="F22" s="1"/>
      <c r="G22" s="1"/>
      <c r="H22" s="1"/>
    </row>
    <row r="23" spans="1:8" ht="18" customHeight="1">
      <c r="A23" s="9">
        <v>46095</v>
      </c>
      <c r="B23" s="10" t="s">
        <v>25</v>
      </c>
      <c r="C23" s="1">
        <v>13.7</v>
      </c>
      <c r="D23" s="11">
        <v>18.600000000000001</v>
      </c>
      <c r="E23" s="12">
        <f t="shared" si="0"/>
        <v>254.82</v>
      </c>
      <c r="F23" s="1"/>
      <c r="G23" s="1"/>
      <c r="H23" s="1"/>
    </row>
    <row r="24" spans="1:8" ht="18" customHeight="1">
      <c r="A24" s="9">
        <v>46096</v>
      </c>
      <c r="B24" s="10" t="s">
        <v>26</v>
      </c>
      <c r="C24" s="1">
        <v>13.7</v>
      </c>
      <c r="D24" s="11">
        <v>18.600000000000001</v>
      </c>
      <c r="E24" s="12">
        <f t="shared" si="0"/>
        <v>254.82</v>
      </c>
      <c r="F24" s="1"/>
      <c r="G24" s="1"/>
      <c r="H24" s="1"/>
    </row>
    <row r="25" spans="1:8" ht="18" customHeight="1">
      <c r="A25" s="9">
        <v>46097</v>
      </c>
      <c r="B25" s="10" t="s">
        <v>27</v>
      </c>
      <c r="C25" s="1">
        <v>0</v>
      </c>
      <c r="D25" s="11">
        <v>18.600000000000001</v>
      </c>
      <c r="E25" s="12">
        <f t="shared" si="0"/>
        <v>0</v>
      </c>
      <c r="F25" s="1"/>
      <c r="G25" s="1">
        <v>1</v>
      </c>
      <c r="H25" s="1"/>
    </row>
    <row r="26" spans="1:8" ht="18" customHeight="1">
      <c r="A26" s="9">
        <v>46098</v>
      </c>
      <c r="B26" s="10" t="s">
        <v>28</v>
      </c>
      <c r="C26" s="1">
        <v>11.7</v>
      </c>
      <c r="D26" s="11">
        <v>18.600000000000001</v>
      </c>
      <c r="E26" s="12">
        <f t="shared" si="0"/>
        <v>217.62</v>
      </c>
      <c r="F26" s="1"/>
      <c r="G26" s="1"/>
      <c r="H26" s="1"/>
    </row>
    <row r="27" spans="1:8" ht="18" customHeight="1">
      <c r="A27" s="9">
        <v>46099</v>
      </c>
      <c r="B27" s="10" t="s">
        <v>22</v>
      </c>
      <c r="C27" s="1">
        <v>12.7</v>
      </c>
      <c r="D27" s="11">
        <v>18.600000000000001</v>
      </c>
      <c r="E27" s="12">
        <f t="shared" si="0"/>
        <v>236.22</v>
      </c>
      <c r="F27" s="1"/>
      <c r="G27" s="1"/>
      <c r="H27" s="1"/>
    </row>
    <row r="28" spans="1:8" ht="18" customHeight="1">
      <c r="A28" s="9">
        <v>46100</v>
      </c>
      <c r="B28" s="10" t="s">
        <v>23</v>
      </c>
      <c r="C28" s="1">
        <v>12.7</v>
      </c>
      <c r="D28" s="11">
        <v>18.600000000000001</v>
      </c>
      <c r="E28" s="12">
        <f t="shared" si="0"/>
        <v>236.22</v>
      </c>
      <c r="F28" s="1"/>
      <c r="G28" s="1"/>
      <c r="H28" s="1"/>
    </row>
    <row r="29" spans="1:8" ht="18" customHeight="1">
      <c r="A29" s="9">
        <v>46101</v>
      </c>
      <c r="B29" s="10" t="s">
        <v>24</v>
      </c>
      <c r="C29" s="1">
        <v>16.7</v>
      </c>
      <c r="D29" s="11">
        <v>18.600000000000001</v>
      </c>
      <c r="E29" s="12">
        <f t="shared" si="0"/>
        <v>310.62</v>
      </c>
      <c r="F29" s="1"/>
      <c r="G29" s="1"/>
      <c r="H29" s="1"/>
    </row>
    <row r="30" spans="1:8" ht="18" customHeight="1">
      <c r="A30" s="19"/>
      <c r="B30" s="10"/>
      <c r="C30" s="15"/>
      <c r="D30" s="15"/>
      <c r="E30" s="20"/>
      <c r="F30" s="16"/>
      <c r="G30" s="17"/>
      <c r="H30" s="18"/>
    </row>
    <row r="31" spans="1:8" ht="18" customHeight="1">
      <c r="A31" s="19"/>
      <c r="B31" s="10"/>
      <c r="C31" s="15"/>
      <c r="D31" s="15"/>
      <c r="E31" s="20"/>
      <c r="F31" s="16"/>
      <c r="G31" s="17"/>
      <c r="H31" s="18"/>
    </row>
    <row r="32" spans="1:8" ht="18" customHeight="1">
      <c r="A32" s="21" t="s">
        <v>29</v>
      </c>
      <c r="B32" s="10"/>
      <c r="C32" s="15">
        <f>SUM(C2:C29)</f>
        <v>299.39999999999992</v>
      </c>
      <c r="D32" s="15"/>
      <c r="E32" s="20">
        <f>SUM(E2:E29)</f>
        <v>5568.84</v>
      </c>
      <c r="F32" s="16"/>
      <c r="G32" s="17">
        <f>SUM(G2:G29)</f>
        <v>6</v>
      </c>
      <c r="H32" s="18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三月"/>
  <dimension ref="A1:H35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46102</v>
      </c>
      <c r="B2" s="10" t="s">
        <v>25</v>
      </c>
      <c r="C2" s="1">
        <v>17.7</v>
      </c>
      <c r="D2" s="11">
        <v>18.600000000000001</v>
      </c>
      <c r="E2" s="12">
        <f t="shared" ref="E2:E32" si="0">C2*D2</f>
        <v>329.22</v>
      </c>
      <c r="F2" s="1"/>
      <c r="G2" s="1"/>
      <c r="H2" s="1"/>
    </row>
    <row r="3" spans="1:8" ht="18" customHeight="1">
      <c r="A3" s="9">
        <v>46103</v>
      </c>
      <c r="B3" s="10" t="s">
        <v>26</v>
      </c>
      <c r="C3" s="1">
        <v>0</v>
      </c>
      <c r="D3" s="11">
        <v>18.600000000000001</v>
      </c>
      <c r="E3" s="12">
        <f t="shared" si="0"/>
        <v>0</v>
      </c>
      <c r="F3" s="1"/>
      <c r="G3" s="1">
        <v>1</v>
      </c>
      <c r="H3" s="1"/>
    </row>
    <row r="4" spans="1:8" ht="18" customHeight="1">
      <c r="A4" s="9">
        <v>46104</v>
      </c>
      <c r="B4" s="10" t="s">
        <v>27</v>
      </c>
      <c r="C4" s="1">
        <v>0</v>
      </c>
      <c r="D4" s="11">
        <v>18.600000000000001</v>
      </c>
      <c r="E4" s="12">
        <f t="shared" si="0"/>
        <v>0</v>
      </c>
      <c r="F4" s="1"/>
      <c r="G4" s="1">
        <v>1</v>
      </c>
      <c r="H4" s="1"/>
    </row>
    <row r="5" spans="1:8" ht="18" customHeight="1">
      <c r="A5" s="9">
        <v>46105</v>
      </c>
      <c r="B5" s="10" t="s">
        <v>28</v>
      </c>
      <c r="C5" s="22">
        <v>12.9</v>
      </c>
      <c r="D5" s="11">
        <v>18.600000000000001</v>
      </c>
      <c r="E5" s="12">
        <f t="shared" si="0"/>
        <v>239.94000000000003</v>
      </c>
      <c r="F5" s="1"/>
      <c r="G5" s="1"/>
      <c r="H5" s="1"/>
    </row>
    <row r="6" spans="1:8" ht="18" customHeight="1">
      <c r="A6" s="9">
        <v>46106</v>
      </c>
      <c r="B6" s="10" t="s">
        <v>22</v>
      </c>
      <c r="C6" s="1">
        <v>0</v>
      </c>
      <c r="D6" s="11">
        <v>18.600000000000001</v>
      </c>
      <c r="E6" s="12">
        <f t="shared" si="0"/>
        <v>0</v>
      </c>
      <c r="F6" s="1"/>
      <c r="G6" s="1">
        <v>1</v>
      </c>
      <c r="H6" s="1"/>
    </row>
    <row r="7" spans="1:8" ht="18" customHeight="1">
      <c r="A7" s="9">
        <v>46107</v>
      </c>
      <c r="B7" s="10" t="s">
        <v>23</v>
      </c>
      <c r="C7" s="1">
        <v>0</v>
      </c>
      <c r="D7" s="11">
        <v>18.600000000000001</v>
      </c>
      <c r="E7" s="12">
        <f t="shared" si="0"/>
        <v>0</v>
      </c>
      <c r="F7" s="1"/>
      <c r="G7" s="1">
        <v>1</v>
      </c>
      <c r="H7" s="1"/>
    </row>
    <row r="8" spans="1:8" ht="18" customHeight="1">
      <c r="A8" s="9">
        <v>46108</v>
      </c>
      <c r="B8" s="10" t="s">
        <v>24</v>
      </c>
      <c r="C8" s="1">
        <v>13.7</v>
      </c>
      <c r="D8" s="11">
        <v>18.600000000000001</v>
      </c>
      <c r="E8" s="12">
        <f t="shared" si="0"/>
        <v>254.82</v>
      </c>
      <c r="F8" s="1"/>
      <c r="G8" s="1"/>
      <c r="H8" s="1"/>
    </row>
    <row r="9" spans="1:8" ht="18" customHeight="1">
      <c r="A9" s="9">
        <v>46109</v>
      </c>
      <c r="B9" s="10" t="s">
        <v>25</v>
      </c>
      <c r="C9" s="1">
        <v>12.7</v>
      </c>
      <c r="D9" s="11">
        <v>18.600000000000001</v>
      </c>
      <c r="E9" s="12">
        <f t="shared" si="0"/>
        <v>236.22</v>
      </c>
      <c r="F9" s="1"/>
      <c r="G9" s="1"/>
      <c r="H9" s="1"/>
    </row>
    <row r="10" spans="1:8" ht="18" customHeight="1">
      <c r="A10" s="9">
        <v>46110</v>
      </c>
      <c r="B10" s="10" t="s">
        <v>26</v>
      </c>
      <c r="C10" s="1">
        <v>13.5</v>
      </c>
      <c r="D10" s="11">
        <v>18.600000000000001</v>
      </c>
      <c r="E10" s="12">
        <f t="shared" si="0"/>
        <v>251.10000000000002</v>
      </c>
      <c r="F10" s="1"/>
      <c r="G10" s="1"/>
      <c r="H10" s="1"/>
    </row>
    <row r="11" spans="1:8" ht="18" customHeight="1">
      <c r="A11" s="9">
        <v>46111</v>
      </c>
      <c r="B11" s="10" t="s">
        <v>27</v>
      </c>
      <c r="C11" s="1">
        <v>12.7</v>
      </c>
      <c r="D11" s="11">
        <v>18.600000000000001</v>
      </c>
      <c r="E11" s="12">
        <f t="shared" si="0"/>
        <v>236.22</v>
      </c>
      <c r="F11" s="1"/>
      <c r="G11" s="1"/>
      <c r="H11" s="1"/>
    </row>
    <row r="12" spans="1:8" ht="18" customHeight="1">
      <c r="A12" s="9">
        <v>46112</v>
      </c>
      <c r="B12" s="10" t="s">
        <v>28</v>
      </c>
      <c r="C12" s="1">
        <v>0</v>
      </c>
      <c r="D12" s="11">
        <v>18.600000000000001</v>
      </c>
      <c r="E12" s="12">
        <f t="shared" si="0"/>
        <v>0</v>
      </c>
      <c r="F12" s="1"/>
      <c r="G12" s="1">
        <v>1</v>
      </c>
      <c r="H12" s="1"/>
    </row>
    <row r="13" spans="1:8" ht="18" customHeight="1">
      <c r="A13" s="9">
        <v>46113</v>
      </c>
      <c r="B13" s="10" t="s">
        <v>22</v>
      </c>
      <c r="C13" s="1">
        <v>12.7</v>
      </c>
      <c r="D13" s="11">
        <v>18.600000000000001</v>
      </c>
      <c r="E13" s="12">
        <f t="shared" si="0"/>
        <v>236.22</v>
      </c>
      <c r="F13" s="1"/>
      <c r="G13" s="1"/>
      <c r="H13" s="1"/>
    </row>
    <row r="14" spans="1:8" ht="18" customHeight="1">
      <c r="A14" s="9">
        <v>46114</v>
      </c>
      <c r="B14" s="10" t="s">
        <v>23</v>
      </c>
      <c r="C14" s="1">
        <v>12.7</v>
      </c>
      <c r="D14" s="11">
        <v>18.600000000000001</v>
      </c>
      <c r="E14" s="12">
        <f t="shared" si="0"/>
        <v>236.22</v>
      </c>
      <c r="F14" s="1"/>
      <c r="G14" s="1"/>
      <c r="H14" s="1"/>
    </row>
    <row r="15" spans="1:8" ht="18" customHeight="1">
      <c r="A15" s="9">
        <v>46115</v>
      </c>
      <c r="B15" s="10" t="s">
        <v>24</v>
      </c>
      <c r="C15" s="1">
        <v>13.5</v>
      </c>
      <c r="D15" s="11">
        <v>18.600000000000001</v>
      </c>
      <c r="E15" s="12">
        <f t="shared" si="0"/>
        <v>251.10000000000002</v>
      </c>
      <c r="F15" s="1"/>
      <c r="G15" s="1"/>
      <c r="H15" s="1"/>
    </row>
    <row r="16" spans="1:8" ht="18" customHeight="1">
      <c r="A16" s="9">
        <v>46116</v>
      </c>
      <c r="B16" s="10" t="s">
        <v>25</v>
      </c>
      <c r="C16" s="1">
        <v>13.9</v>
      </c>
      <c r="D16" s="11">
        <v>18.600000000000001</v>
      </c>
      <c r="E16" s="12">
        <f t="shared" si="0"/>
        <v>258.54000000000002</v>
      </c>
      <c r="F16" s="1"/>
      <c r="G16" s="1"/>
      <c r="H16" s="1"/>
    </row>
    <row r="17" spans="1:8" ht="18" customHeight="1">
      <c r="A17" s="9">
        <v>46117</v>
      </c>
      <c r="B17" s="10" t="s">
        <v>26</v>
      </c>
      <c r="C17" s="1">
        <v>16.2</v>
      </c>
      <c r="D17" s="11">
        <v>18.600000000000001</v>
      </c>
      <c r="E17" s="12">
        <f t="shared" si="0"/>
        <v>301.32</v>
      </c>
      <c r="F17" s="1"/>
      <c r="G17" s="1"/>
      <c r="H17" s="1"/>
    </row>
    <row r="18" spans="1:8" ht="18" customHeight="1">
      <c r="A18" s="9">
        <v>46118</v>
      </c>
      <c r="B18" s="10" t="s">
        <v>27</v>
      </c>
      <c r="C18" s="1">
        <v>14.7</v>
      </c>
      <c r="D18" s="11">
        <v>18.600000000000001</v>
      </c>
      <c r="E18" s="12">
        <f t="shared" si="0"/>
        <v>273.42</v>
      </c>
      <c r="F18" s="1"/>
      <c r="G18" s="1"/>
      <c r="H18" s="1"/>
    </row>
    <row r="19" spans="1:8" ht="18" customHeight="1">
      <c r="A19" s="9">
        <v>46119</v>
      </c>
      <c r="B19" s="10" t="s">
        <v>28</v>
      </c>
      <c r="C19" s="1">
        <v>9.5</v>
      </c>
      <c r="D19" s="11">
        <v>18.600000000000001</v>
      </c>
      <c r="E19" s="12">
        <f t="shared" si="0"/>
        <v>176.70000000000002</v>
      </c>
      <c r="F19" s="1"/>
      <c r="G19" s="1"/>
      <c r="H19" s="1"/>
    </row>
    <row r="20" spans="1:8" ht="18" customHeight="1">
      <c r="A20" s="9">
        <v>46120</v>
      </c>
      <c r="B20" s="10" t="s">
        <v>22</v>
      </c>
      <c r="C20" s="1">
        <v>13.7</v>
      </c>
      <c r="D20" s="11">
        <v>18.600000000000001</v>
      </c>
      <c r="E20" s="12">
        <f t="shared" si="0"/>
        <v>254.82</v>
      </c>
      <c r="F20" s="1"/>
      <c r="G20" s="1"/>
      <c r="H20" s="1"/>
    </row>
    <row r="21" spans="1:8" ht="18" customHeight="1">
      <c r="A21" s="9">
        <v>46121</v>
      </c>
      <c r="B21" s="10" t="s">
        <v>23</v>
      </c>
      <c r="C21" s="1">
        <v>12.7</v>
      </c>
      <c r="D21" s="11">
        <v>18.600000000000001</v>
      </c>
      <c r="E21" s="12">
        <f t="shared" si="0"/>
        <v>236.22</v>
      </c>
      <c r="F21" s="1"/>
      <c r="G21" s="1"/>
      <c r="H21" s="1"/>
    </row>
    <row r="22" spans="1:8" ht="18" customHeight="1">
      <c r="A22" s="9">
        <v>46122</v>
      </c>
      <c r="B22" s="10" t="s">
        <v>24</v>
      </c>
      <c r="C22" s="1">
        <v>14.7</v>
      </c>
      <c r="D22" s="11">
        <v>18.600000000000001</v>
      </c>
      <c r="E22" s="12">
        <f t="shared" si="0"/>
        <v>273.42</v>
      </c>
      <c r="F22" s="1"/>
      <c r="G22" s="1"/>
      <c r="H22" s="1"/>
    </row>
    <row r="23" spans="1:8" ht="18" customHeight="1">
      <c r="A23" s="9">
        <v>46123</v>
      </c>
      <c r="B23" s="10" t="s">
        <v>25</v>
      </c>
      <c r="C23" s="1">
        <v>14.7</v>
      </c>
      <c r="D23" s="11">
        <v>18.600000000000001</v>
      </c>
      <c r="E23" s="12">
        <f t="shared" si="0"/>
        <v>273.42</v>
      </c>
      <c r="F23" s="1"/>
      <c r="G23" s="1"/>
      <c r="H23" s="1"/>
    </row>
    <row r="24" spans="1:8" ht="18" customHeight="1">
      <c r="A24" s="9">
        <v>46124</v>
      </c>
      <c r="B24" s="10" t="s">
        <v>26</v>
      </c>
      <c r="C24" s="1">
        <v>13.5</v>
      </c>
      <c r="D24" s="11">
        <v>18.600000000000001</v>
      </c>
      <c r="E24" s="12">
        <f t="shared" si="0"/>
        <v>251.10000000000002</v>
      </c>
      <c r="F24" s="1"/>
      <c r="G24" s="1"/>
      <c r="H24" s="1"/>
    </row>
    <row r="25" spans="1:8" ht="18" customHeight="1">
      <c r="A25" s="9">
        <v>46125</v>
      </c>
      <c r="B25" s="10" t="s">
        <v>27</v>
      </c>
      <c r="C25" s="1">
        <v>12.5</v>
      </c>
      <c r="D25" s="11">
        <v>18.600000000000001</v>
      </c>
      <c r="E25" s="12">
        <f t="shared" si="0"/>
        <v>232.50000000000003</v>
      </c>
      <c r="F25" s="1"/>
      <c r="G25" s="1"/>
      <c r="H25" s="1"/>
    </row>
    <row r="26" spans="1:8" ht="18" customHeight="1">
      <c r="A26" s="9">
        <v>46126</v>
      </c>
      <c r="B26" s="10" t="s">
        <v>28</v>
      </c>
      <c r="C26" s="1">
        <v>9.5</v>
      </c>
      <c r="D26" s="11">
        <v>18.600000000000001</v>
      </c>
      <c r="E26" s="12">
        <f t="shared" si="0"/>
        <v>176.70000000000002</v>
      </c>
      <c r="F26" s="1"/>
      <c r="G26" s="1"/>
      <c r="H26" s="1"/>
    </row>
    <row r="27" spans="1:8" ht="18" customHeight="1">
      <c r="A27" s="9">
        <v>46127</v>
      </c>
      <c r="B27" s="10" t="s">
        <v>22</v>
      </c>
      <c r="C27" s="1">
        <v>12.5</v>
      </c>
      <c r="D27" s="11">
        <v>18.600000000000001</v>
      </c>
      <c r="E27" s="12">
        <f t="shared" si="0"/>
        <v>232.50000000000003</v>
      </c>
      <c r="F27" s="1"/>
      <c r="G27" s="1"/>
      <c r="H27" s="1"/>
    </row>
    <row r="28" spans="1:8" ht="18" customHeight="1">
      <c r="A28" s="9">
        <v>46128</v>
      </c>
      <c r="B28" s="10" t="s">
        <v>23</v>
      </c>
      <c r="C28" s="1">
        <v>0</v>
      </c>
      <c r="D28" s="11">
        <v>18.600000000000001</v>
      </c>
      <c r="E28" s="12">
        <f t="shared" si="0"/>
        <v>0</v>
      </c>
      <c r="F28" s="1"/>
      <c r="G28" s="1">
        <v>1</v>
      </c>
      <c r="H28" s="1"/>
    </row>
    <row r="29" spans="1:8" ht="18" customHeight="1">
      <c r="A29" s="9">
        <v>46129</v>
      </c>
      <c r="B29" s="10" t="s">
        <v>24</v>
      </c>
      <c r="C29" s="1">
        <v>0</v>
      </c>
      <c r="D29" s="11">
        <v>18.600000000000001</v>
      </c>
      <c r="E29" s="12">
        <f t="shared" si="0"/>
        <v>0</v>
      </c>
      <c r="F29" s="1"/>
      <c r="G29" s="1">
        <v>1</v>
      </c>
      <c r="H29" s="1"/>
    </row>
    <row r="30" spans="1:8" ht="18" customHeight="1">
      <c r="A30" s="9">
        <v>46130</v>
      </c>
      <c r="B30" s="10" t="s">
        <v>25</v>
      </c>
      <c r="C30" s="1">
        <v>13.5</v>
      </c>
      <c r="D30" s="11">
        <v>18.600000000000001</v>
      </c>
      <c r="E30" s="12">
        <f t="shared" si="0"/>
        <v>251.10000000000002</v>
      </c>
      <c r="F30" s="1"/>
      <c r="G30" s="1"/>
      <c r="H30" s="1"/>
    </row>
    <row r="31" spans="1:8" ht="18" customHeight="1">
      <c r="A31" s="9">
        <v>46131</v>
      </c>
      <c r="B31" s="10" t="s">
        <v>26</v>
      </c>
      <c r="C31" s="1">
        <v>12.7</v>
      </c>
      <c r="D31" s="11">
        <v>18.600000000000001</v>
      </c>
      <c r="E31" s="12">
        <f t="shared" si="0"/>
        <v>236.22</v>
      </c>
      <c r="F31" s="1"/>
      <c r="G31" s="1"/>
      <c r="H31" s="1"/>
    </row>
    <row r="32" spans="1:8" ht="18" customHeight="1">
      <c r="A32" s="9">
        <v>46132</v>
      </c>
      <c r="B32" s="10" t="s">
        <v>27</v>
      </c>
      <c r="C32" s="15">
        <v>12.2</v>
      </c>
      <c r="D32" s="11">
        <v>18.600000000000001</v>
      </c>
      <c r="E32" s="12">
        <f t="shared" si="0"/>
        <v>226.92000000000002</v>
      </c>
      <c r="F32" s="16">
        <f>40+100+50+100</f>
        <v>290</v>
      </c>
      <c r="G32" s="17"/>
      <c r="H32" s="18" t="s">
        <v>31</v>
      </c>
    </row>
    <row r="33" spans="1:8" ht="18" customHeight="1">
      <c r="A33" s="19"/>
      <c r="B33" s="10"/>
      <c r="C33" s="15"/>
      <c r="D33" s="15"/>
      <c r="E33" s="20">
        <f>100+100</f>
        <v>200</v>
      </c>
      <c r="F33" s="16" t="s">
        <v>30</v>
      </c>
      <c r="G33" s="17"/>
      <c r="H33" s="18"/>
    </row>
    <row r="34" spans="1:8" ht="18" customHeight="1">
      <c r="A34" s="19"/>
      <c r="B34" s="10"/>
      <c r="C34" s="15"/>
      <c r="D34" s="15"/>
      <c r="E34" s="20"/>
      <c r="F34" s="16"/>
      <c r="G34" s="17"/>
      <c r="H34" s="18"/>
    </row>
    <row r="35" spans="1:8" ht="18" customHeight="1">
      <c r="A35" s="21" t="s">
        <v>29</v>
      </c>
      <c r="B35" s="10"/>
      <c r="C35" s="15">
        <f>SUM(C2:C32)</f>
        <v>318.59999999999991</v>
      </c>
      <c r="D35" s="15"/>
      <c r="E35" s="20">
        <f>SUM(E2:E33)</f>
        <v>6125.9600000000009</v>
      </c>
      <c r="F35" s="16"/>
      <c r="G35" s="17">
        <f>SUM(G2:G32)</f>
        <v>7</v>
      </c>
      <c r="H35" s="18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四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46133</v>
      </c>
      <c r="B2" s="10" t="s">
        <v>28</v>
      </c>
      <c r="C2" s="1">
        <v>12.7</v>
      </c>
      <c r="D2" s="11">
        <v>18.600000000000001</v>
      </c>
      <c r="E2" s="12">
        <f t="shared" ref="E2:E31" si="0">C2*D2</f>
        <v>236.22</v>
      </c>
      <c r="F2" s="1"/>
      <c r="G2" s="1"/>
      <c r="H2" s="1"/>
    </row>
    <row r="3" spans="1:8" ht="18" customHeight="1">
      <c r="A3" s="9">
        <v>46134</v>
      </c>
      <c r="B3" s="10" t="s">
        <v>22</v>
      </c>
      <c r="C3" s="1">
        <v>13.7</v>
      </c>
      <c r="D3" s="11">
        <v>18.600000000000001</v>
      </c>
      <c r="E3" s="12">
        <f t="shared" si="0"/>
        <v>254.82</v>
      </c>
      <c r="F3" s="1"/>
      <c r="G3" s="1"/>
      <c r="H3" s="1"/>
    </row>
    <row r="4" spans="1:8" ht="18" customHeight="1">
      <c r="A4" s="9">
        <v>46135</v>
      </c>
      <c r="B4" s="10" t="s">
        <v>23</v>
      </c>
      <c r="C4" s="1">
        <v>14.7</v>
      </c>
      <c r="D4" s="11">
        <v>18.600000000000001</v>
      </c>
      <c r="E4" s="12">
        <f t="shared" si="0"/>
        <v>273.42</v>
      </c>
      <c r="F4" s="1"/>
      <c r="G4" s="1"/>
      <c r="H4" s="1"/>
    </row>
    <row r="5" spans="1:8" ht="18" customHeight="1">
      <c r="A5" s="9">
        <v>46136</v>
      </c>
      <c r="B5" s="10" t="s">
        <v>24</v>
      </c>
      <c r="C5" s="1">
        <v>15.7</v>
      </c>
      <c r="D5" s="11">
        <v>18.600000000000001</v>
      </c>
      <c r="E5" s="12">
        <f t="shared" si="0"/>
        <v>292.02</v>
      </c>
      <c r="F5" s="1"/>
      <c r="G5" s="1"/>
      <c r="H5" s="1"/>
    </row>
    <row r="6" spans="1:8" ht="18" customHeight="1">
      <c r="A6" s="9">
        <v>46137</v>
      </c>
      <c r="B6" s="10" t="s">
        <v>25</v>
      </c>
      <c r="C6" s="1">
        <v>16.7</v>
      </c>
      <c r="D6" s="11">
        <v>18.600000000000001</v>
      </c>
      <c r="E6" s="12">
        <f t="shared" si="0"/>
        <v>310.62</v>
      </c>
      <c r="F6" s="1"/>
      <c r="G6" s="1"/>
      <c r="H6" s="1"/>
    </row>
    <row r="7" spans="1:8" ht="18" customHeight="1">
      <c r="A7" s="9">
        <v>46138</v>
      </c>
      <c r="B7" s="10" t="s">
        <v>26</v>
      </c>
      <c r="C7" s="1">
        <v>0</v>
      </c>
      <c r="D7" s="11">
        <v>18.600000000000001</v>
      </c>
      <c r="E7" s="12">
        <f t="shared" si="0"/>
        <v>0</v>
      </c>
      <c r="F7" s="1"/>
      <c r="G7" s="1">
        <v>1</v>
      </c>
      <c r="H7" s="1"/>
    </row>
    <row r="8" spans="1:8" ht="18" customHeight="1">
      <c r="A8" s="9">
        <v>46139</v>
      </c>
      <c r="B8" s="10" t="s">
        <v>27</v>
      </c>
      <c r="C8" s="1">
        <v>11.5</v>
      </c>
      <c r="D8" s="11">
        <v>18.600000000000001</v>
      </c>
      <c r="E8" s="12">
        <f t="shared" si="0"/>
        <v>213.9</v>
      </c>
      <c r="F8" s="1"/>
      <c r="G8" s="1"/>
      <c r="H8" s="1"/>
    </row>
    <row r="9" spans="1:8" ht="18" customHeight="1">
      <c r="A9" s="9">
        <v>46140</v>
      </c>
      <c r="B9" s="10" t="s">
        <v>28</v>
      </c>
      <c r="C9" s="1">
        <v>13.5</v>
      </c>
      <c r="D9" s="11">
        <v>18.600000000000001</v>
      </c>
      <c r="E9" s="12">
        <f t="shared" si="0"/>
        <v>251.10000000000002</v>
      </c>
      <c r="F9" s="1"/>
      <c r="G9" s="1"/>
      <c r="H9" s="1"/>
    </row>
    <row r="10" spans="1:8" ht="18" customHeight="1">
      <c r="A10" s="9">
        <v>46141</v>
      </c>
      <c r="B10" s="10" t="s">
        <v>22</v>
      </c>
      <c r="C10" s="1">
        <v>0</v>
      </c>
      <c r="D10" s="11">
        <v>18.600000000000001</v>
      </c>
      <c r="E10" s="12">
        <f t="shared" si="0"/>
        <v>0</v>
      </c>
      <c r="F10" s="1"/>
      <c r="G10" s="1">
        <v>1</v>
      </c>
      <c r="H10" s="1"/>
    </row>
    <row r="11" spans="1:8" ht="18" customHeight="1">
      <c r="A11" s="9">
        <v>46142</v>
      </c>
      <c r="B11" s="10" t="s">
        <v>23</v>
      </c>
      <c r="C11" s="1">
        <v>0</v>
      </c>
      <c r="D11" s="11">
        <v>18.600000000000001</v>
      </c>
      <c r="E11" s="12">
        <f t="shared" si="0"/>
        <v>0</v>
      </c>
      <c r="F11" s="1"/>
      <c r="G11" s="1">
        <v>1</v>
      </c>
      <c r="H11" s="1"/>
    </row>
    <row r="12" spans="1:8" ht="18" customHeight="1">
      <c r="A12" s="9">
        <v>46143</v>
      </c>
      <c r="B12" s="10" t="s">
        <v>24</v>
      </c>
      <c r="C12" s="1">
        <v>0</v>
      </c>
      <c r="D12" s="11">
        <v>18.600000000000001</v>
      </c>
      <c r="E12" s="12">
        <f t="shared" si="0"/>
        <v>0</v>
      </c>
      <c r="F12" s="1"/>
      <c r="G12" s="1">
        <v>1</v>
      </c>
      <c r="H12" s="1"/>
    </row>
    <row r="13" spans="1:8" ht="18" customHeight="1">
      <c r="A13" s="9">
        <v>46144</v>
      </c>
      <c r="B13" s="10" t="s">
        <v>25</v>
      </c>
      <c r="C13" s="1">
        <v>0</v>
      </c>
      <c r="D13" s="11">
        <v>18.600000000000001</v>
      </c>
      <c r="E13" s="12">
        <f t="shared" si="0"/>
        <v>0</v>
      </c>
      <c r="F13" s="1"/>
      <c r="G13" s="1">
        <v>1</v>
      </c>
      <c r="H13" s="1"/>
    </row>
    <row r="14" spans="1:8" ht="18" customHeight="1">
      <c r="A14" s="9">
        <v>46145</v>
      </c>
      <c r="B14" s="10" t="s">
        <v>26</v>
      </c>
      <c r="C14" s="1">
        <v>0</v>
      </c>
      <c r="D14" s="11">
        <v>18.600000000000001</v>
      </c>
      <c r="E14" s="12">
        <f t="shared" si="0"/>
        <v>0</v>
      </c>
      <c r="F14" s="1"/>
      <c r="G14" s="1">
        <v>1</v>
      </c>
      <c r="H14" s="1"/>
    </row>
    <row r="15" spans="1:8" ht="18" customHeight="1">
      <c r="A15" s="9">
        <v>46146</v>
      </c>
      <c r="B15" s="10" t="s">
        <v>27</v>
      </c>
      <c r="C15" s="23">
        <v>0</v>
      </c>
      <c r="D15" s="11">
        <v>18.600000000000001</v>
      </c>
      <c r="E15" s="12">
        <f t="shared" si="0"/>
        <v>0</v>
      </c>
      <c r="F15" s="1"/>
      <c r="G15" s="1">
        <v>1</v>
      </c>
      <c r="H15" s="1"/>
    </row>
    <row r="16" spans="1:8" ht="18" customHeight="1">
      <c r="A16" s="9">
        <v>46147</v>
      </c>
      <c r="B16" s="10" t="s">
        <v>28</v>
      </c>
      <c r="C16" s="1">
        <v>12.7</v>
      </c>
      <c r="D16" s="11">
        <v>18.600000000000001</v>
      </c>
      <c r="E16" s="12">
        <f t="shared" si="0"/>
        <v>236.22</v>
      </c>
      <c r="F16" s="1"/>
      <c r="G16" s="1"/>
      <c r="H16" s="1"/>
    </row>
    <row r="17" spans="1:8" ht="18" customHeight="1">
      <c r="A17" s="9">
        <v>46148</v>
      </c>
      <c r="B17" s="10" t="s">
        <v>22</v>
      </c>
      <c r="C17" s="1">
        <v>11.7</v>
      </c>
      <c r="D17" s="11">
        <v>18.600000000000001</v>
      </c>
      <c r="E17" s="12">
        <f t="shared" si="0"/>
        <v>217.62</v>
      </c>
      <c r="F17" s="1"/>
      <c r="G17" s="1"/>
      <c r="H17" s="1"/>
    </row>
    <row r="18" spans="1:8" ht="18" customHeight="1">
      <c r="A18" s="9">
        <v>46149</v>
      </c>
      <c r="B18" s="10" t="s">
        <v>23</v>
      </c>
      <c r="C18" s="1">
        <v>12.7</v>
      </c>
      <c r="D18" s="11">
        <v>18.600000000000001</v>
      </c>
      <c r="E18" s="12">
        <f t="shared" si="0"/>
        <v>236.22</v>
      </c>
      <c r="F18" s="1"/>
      <c r="G18" s="1"/>
      <c r="H18" s="1"/>
    </row>
    <row r="19" spans="1:8" ht="18" customHeight="1">
      <c r="A19" s="9">
        <v>46150</v>
      </c>
      <c r="B19" s="10" t="s">
        <v>24</v>
      </c>
      <c r="C19" s="1">
        <v>11.7</v>
      </c>
      <c r="D19" s="11">
        <v>18.600000000000001</v>
      </c>
      <c r="E19" s="12">
        <f t="shared" si="0"/>
        <v>217.62</v>
      </c>
      <c r="F19" s="1"/>
      <c r="G19" s="1"/>
      <c r="H19" s="1"/>
    </row>
    <row r="20" spans="1:8" ht="18" customHeight="1">
      <c r="A20" s="9">
        <v>46151</v>
      </c>
      <c r="B20" s="10" t="s">
        <v>25</v>
      </c>
      <c r="C20" s="1">
        <v>13.7</v>
      </c>
      <c r="D20" s="11">
        <v>18.600000000000001</v>
      </c>
      <c r="E20" s="12">
        <f t="shared" si="0"/>
        <v>254.82</v>
      </c>
      <c r="F20" s="1"/>
      <c r="G20" s="1"/>
      <c r="H20" s="1"/>
    </row>
    <row r="21" spans="1:8" ht="18" customHeight="1">
      <c r="A21" s="9">
        <v>46152</v>
      </c>
      <c r="B21" s="10" t="s">
        <v>26</v>
      </c>
      <c r="C21" s="1">
        <v>15.2</v>
      </c>
      <c r="D21" s="11">
        <v>18.600000000000001</v>
      </c>
      <c r="E21" s="12">
        <f t="shared" si="0"/>
        <v>282.72000000000003</v>
      </c>
      <c r="F21" s="1"/>
      <c r="G21" s="1"/>
      <c r="H21" s="1"/>
    </row>
    <row r="22" spans="1:8" ht="18" customHeight="1">
      <c r="A22" s="9">
        <v>46153</v>
      </c>
      <c r="B22" s="10" t="s">
        <v>27</v>
      </c>
      <c r="C22" s="1">
        <v>0</v>
      </c>
      <c r="D22" s="11">
        <v>18.600000000000001</v>
      </c>
      <c r="E22" s="12">
        <f t="shared" si="0"/>
        <v>0</v>
      </c>
      <c r="F22" s="1"/>
      <c r="G22" s="1">
        <v>1</v>
      </c>
      <c r="H22" s="1"/>
    </row>
    <row r="23" spans="1:8" ht="18" customHeight="1">
      <c r="A23" s="9">
        <v>46154</v>
      </c>
      <c r="B23" s="10" t="s">
        <v>28</v>
      </c>
      <c r="C23" s="1">
        <v>15.7</v>
      </c>
      <c r="D23" s="11">
        <v>18.600000000000001</v>
      </c>
      <c r="E23" s="12">
        <f t="shared" si="0"/>
        <v>292.02</v>
      </c>
      <c r="F23" s="1"/>
      <c r="G23" s="1"/>
      <c r="H23" s="1"/>
    </row>
    <row r="24" spans="1:8" ht="18" customHeight="1">
      <c r="A24" s="9">
        <v>46155</v>
      </c>
      <c r="B24" s="10" t="s">
        <v>22</v>
      </c>
      <c r="C24" s="1">
        <v>14.7</v>
      </c>
      <c r="D24" s="11">
        <v>18.600000000000001</v>
      </c>
      <c r="E24" s="12">
        <f t="shared" si="0"/>
        <v>273.42</v>
      </c>
      <c r="F24" s="1"/>
      <c r="G24" s="1"/>
      <c r="H24" s="1"/>
    </row>
    <row r="25" spans="1:8" ht="18" customHeight="1">
      <c r="A25" s="9">
        <v>46156</v>
      </c>
      <c r="B25" s="10" t="s">
        <v>23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46157</v>
      </c>
      <c r="B26" s="10" t="s">
        <v>24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46158</v>
      </c>
      <c r="B27" s="10" t="s">
        <v>25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46159</v>
      </c>
      <c r="B28" s="10" t="s">
        <v>26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46160</v>
      </c>
      <c r="B29" s="10" t="s">
        <v>27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46161</v>
      </c>
      <c r="B30" s="10" t="s">
        <v>28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46162</v>
      </c>
      <c r="B31" s="10" t="s">
        <v>22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19"/>
      <c r="B32" s="10"/>
      <c r="C32" s="15"/>
      <c r="D32" s="15"/>
      <c r="E32" s="20"/>
      <c r="F32" s="16"/>
      <c r="G32" s="17"/>
      <c r="H32" s="18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206.59999999999994</v>
      </c>
      <c r="D34" s="15"/>
      <c r="E34" s="20">
        <f>SUM(E2:E31)</f>
        <v>3842.7599999999998</v>
      </c>
      <c r="F34" s="16"/>
      <c r="G34" s="17">
        <f>SUM(G2:G31)</f>
        <v>8</v>
      </c>
      <c r="H34" s="18"/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五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46163</v>
      </c>
      <c r="B2" s="10" t="s">
        <v>23</v>
      </c>
      <c r="C2" s="1"/>
      <c r="D2" s="11">
        <v>18.600000000000001</v>
      </c>
      <c r="E2" s="12">
        <f t="shared" ref="E2:E32" si="0">C2*D2</f>
        <v>0</v>
      </c>
      <c r="F2" s="1"/>
      <c r="G2" s="1"/>
      <c r="H2" s="1"/>
    </row>
    <row r="3" spans="1:8" ht="18" customHeight="1">
      <c r="A3" s="9">
        <v>46164</v>
      </c>
      <c r="B3" s="10" t="s">
        <v>24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46165</v>
      </c>
      <c r="B4" s="10" t="s">
        <v>25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46166</v>
      </c>
      <c r="B5" s="10" t="s">
        <v>26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46167</v>
      </c>
      <c r="B6" s="10" t="s">
        <v>27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46168</v>
      </c>
      <c r="B7" s="10" t="s">
        <v>28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46169</v>
      </c>
      <c r="B8" s="10" t="s">
        <v>22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46170</v>
      </c>
      <c r="B9" s="10" t="s">
        <v>23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46171</v>
      </c>
      <c r="B10" s="10" t="s">
        <v>24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46172</v>
      </c>
      <c r="B11" s="10" t="s">
        <v>25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46173</v>
      </c>
      <c r="B12" s="10" t="s">
        <v>26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46174</v>
      </c>
      <c r="B13" s="10" t="s">
        <v>27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46175</v>
      </c>
      <c r="B14" s="10" t="s">
        <v>28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46176</v>
      </c>
      <c r="B15" s="10" t="s">
        <v>22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46177</v>
      </c>
      <c r="B16" s="10" t="s">
        <v>23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46178</v>
      </c>
      <c r="B17" s="10" t="s">
        <v>24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46179</v>
      </c>
      <c r="B18" s="10" t="s">
        <v>25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46180</v>
      </c>
      <c r="B19" s="10" t="s">
        <v>26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46181</v>
      </c>
      <c r="B20" s="10" t="s">
        <v>27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46182</v>
      </c>
      <c r="B21" s="10" t="s">
        <v>28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46183</v>
      </c>
      <c r="B22" s="10" t="s">
        <v>22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46184</v>
      </c>
      <c r="B23" s="10" t="s">
        <v>23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46185</v>
      </c>
      <c r="B24" s="10" t="s">
        <v>24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46186</v>
      </c>
      <c r="B25" s="10" t="s">
        <v>25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46187</v>
      </c>
      <c r="B26" s="10" t="s">
        <v>26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46188</v>
      </c>
      <c r="B27" s="10" t="s">
        <v>27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46189</v>
      </c>
      <c r="B28" s="10" t="s">
        <v>28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46190</v>
      </c>
      <c r="B29" s="10" t="s">
        <v>22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46191</v>
      </c>
      <c r="B30" s="10" t="s">
        <v>23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46192</v>
      </c>
      <c r="B31" s="10" t="s">
        <v>24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9">
        <v>46193</v>
      </c>
      <c r="B32" s="10" t="s">
        <v>25</v>
      </c>
      <c r="C32" s="1"/>
      <c r="D32" s="11">
        <v>18.600000000000001</v>
      </c>
      <c r="E32" s="12">
        <f t="shared" si="0"/>
        <v>0</v>
      </c>
      <c r="F32" s="1"/>
      <c r="G32" s="1"/>
      <c r="H32" s="1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0</v>
      </c>
      <c r="D34" s="15"/>
      <c r="E34" s="20">
        <f>SUM(E2:E31)</f>
        <v>0</v>
      </c>
      <c r="F34" s="16"/>
      <c r="G34" s="17">
        <f>SUM(G2:G31)</f>
        <v>0</v>
      </c>
      <c r="H34" s="18"/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六月"/>
  <dimension ref="A1:H33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46194</v>
      </c>
      <c r="B2" s="10" t="s">
        <v>26</v>
      </c>
      <c r="C2" s="1"/>
      <c r="D2" s="11">
        <v>18.600000000000001</v>
      </c>
      <c r="E2" s="12">
        <f t="shared" ref="E2:E31" si="0">C2*D2</f>
        <v>0</v>
      </c>
      <c r="F2" s="1"/>
      <c r="G2" s="1"/>
      <c r="H2" s="1"/>
    </row>
    <row r="3" spans="1:8" ht="18" customHeight="1">
      <c r="A3" s="9">
        <v>46195</v>
      </c>
      <c r="B3" s="10" t="s">
        <v>27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46196</v>
      </c>
      <c r="B4" s="10" t="s">
        <v>28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46197</v>
      </c>
      <c r="B5" s="10" t="s">
        <v>22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46198</v>
      </c>
      <c r="B6" s="10" t="s">
        <v>23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46199</v>
      </c>
      <c r="B7" s="10" t="s">
        <v>24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46200</v>
      </c>
      <c r="B8" s="10" t="s">
        <v>25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46201</v>
      </c>
      <c r="B9" s="10" t="s">
        <v>26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46202</v>
      </c>
      <c r="B10" s="10" t="s">
        <v>27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46203</v>
      </c>
      <c r="B11" s="10" t="s">
        <v>28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46204</v>
      </c>
      <c r="B12" s="10" t="s">
        <v>22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46205</v>
      </c>
      <c r="B13" s="10" t="s">
        <v>23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46206</v>
      </c>
      <c r="B14" s="10" t="s">
        <v>24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46207</v>
      </c>
      <c r="B15" s="10" t="s">
        <v>25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46208</v>
      </c>
      <c r="B16" s="10" t="s">
        <v>26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46209</v>
      </c>
      <c r="B17" s="10" t="s">
        <v>27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46210</v>
      </c>
      <c r="B18" s="10" t="s">
        <v>28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46211</v>
      </c>
      <c r="B19" s="10" t="s">
        <v>22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46212</v>
      </c>
      <c r="B20" s="10" t="s">
        <v>23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46213</v>
      </c>
      <c r="B21" s="10" t="s">
        <v>24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46214</v>
      </c>
      <c r="B22" s="10" t="s">
        <v>25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46215</v>
      </c>
      <c r="B23" s="10" t="s">
        <v>26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46216</v>
      </c>
      <c r="B24" s="10" t="s">
        <v>27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46217</v>
      </c>
      <c r="B25" s="10" t="s">
        <v>28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46218</v>
      </c>
      <c r="B26" s="10" t="s">
        <v>22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46219</v>
      </c>
      <c r="B27" s="10" t="s">
        <v>23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46220</v>
      </c>
      <c r="B28" s="10" t="s">
        <v>24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46221</v>
      </c>
      <c r="B29" s="10" t="s">
        <v>25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46222</v>
      </c>
      <c r="B30" s="10" t="s">
        <v>26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46223</v>
      </c>
      <c r="B31" s="10" t="s">
        <v>27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19"/>
      <c r="B32" s="10"/>
      <c r="C32" s="15"/>
      <c r="D32" s="15"/>
      <c r="E32" s="20"/>
      <c r="F32" s="16"/>
      <c r="G32" s="17"/>
      <c r="H32" s="18"/>
    </row>
    <row r="33" spans="1:8" ht="18" customHeight="1">
      <c r="A33" s="21" t="s">
        <v>29</v>
      </c>
      <c r="B33" s="10"/>
      <c r="C33" s="15">
        <f>SUM(C2:C31)</f>
        <v>0</v>
      </c>
      <c r="D33" s="15"/>
      <c r="E33" s="20">
        <f>SUM(E2:E31)</f>
        <v>0</v>
      </c>
      <c r="F33" s="16"/>
      <c r="G33" s="17">
        <f>SUM(G2:G31)</f>
        <v>0</v>
      </c>
      <c r="H33" s="18"/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七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46224</v>
      </c>
      <c r="B2" s="10" t="s">
        <v>28</v>
      </c>
      <c r="C2" s="1"/>
      <c r="D2" s="11">
        <v>18.600000000000001</v>
      </c>
      <c r="E2" s="12">
        <f t="shared" ref="E2:E32" si="0">C2*D2</f>
        <v>0</v>
      </c>
      <c r="F2" s="1"/>
      <c r="G2" s="1"/>
      <c r="H2" s="1"/>
    </row>
    <row r="3" spans="1:8" ht="18" customHeight="1">
      <c r="A3" s="9">
        <v>46225</v>
      </c>
      <c r="B3" s="10" t="s">
        <v>22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46226</v>
      </c>
      <c r="B4" s="10" t="s">
        <v>23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46227</v>
      </c>
      <c r="B5" s="10" t="s">
        <v>24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46228</v>
      </c>
      <c r="B6" s="10" t="s">
        <v>25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46229</v>
      </c>
      <c r="B7" s="10" t="s">
        <v>26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46230</v>
      </c>
      <c r="B8" s="10" t="s">
        <v>27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46231</v>
      </c>
      <c r="B9" s="10" t="s">
        <v>28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46232</v>
      </c>
      <c r="B10" s="10" t="s">
        <v>22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46233</v>
      </c>
      <c r="B11" s="10" t="s">
        <v>23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46234</v>
      </c>
      <c r="B12" s="10" t="s">
        <v>24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46235</v>
      </c>
      <c r="B13" s="10" t="s">
        <v>25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46236</v>
      </c>
      <c r="B14" s="10" t="s">
        <v>26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46237</v>
      </c>
      <c r="B15" s="10" t="s">
        <v>27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46238</v>
      </c>
      <c r="B16" s="10" t="s">
        <v>28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46239</v>
      </c>
      <c r="B17" s="10" t="s">
        <v>22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46240</v>
      </c>
      <c r="B18" s="10" t="s">
        <v>23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46241</v>
      </c>
      <c r="B19" s="10" t="s">
        <v>24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46242</v>
      </c>
      <c r="B20" s="10" t="s">
        <v>25</v>
      </c>
      <c r="C20" s="1"/>
      <c r="D20" s="11">
        <v>18.600000000000001</v>
      </c>
      <c r="E20" s="12">
        <f t="shared" si="0"/>
        <v>0</v>
      </c>
      <c r="F20" s="1"/>
      <c r="H20" s="1"/>
    </row>
    <row r="21" spans="1:8" ht="18" customHeight="1">
      <c r="A21" s="9">
        <v>46243</v>
      </c>
      <c r="B21" s="10" t="s">
        <v>26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46244</v>
      </c>
      <c r="B22" s="10" t="s">
        <v>27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46245</v>
      </c>
      <c r="B23" s="10" t="s">
        <v>28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46246</v>
      </c>
      <c r="B24" s="10" t="s">
        <v>22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46247</v>
      </c>
      <c r="B25" s="10" t="s">
        <v>23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46248</v>
      </c>
      <c r="B26" s="10" t="s">
        <v>24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46249</v>
      </c>
      <c r="B27" s="10" t="s">
        <v>25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46250</v>
      </c>
      <c r="B28" s="10" t="s">
        <v>26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46251</v>
      </c>
      <c r="B29" s="10" t="s">
        <v>27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46252</v>
      </c>
      <c r="B30" s="10" t="s">
        <v>28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46253</v>
      </c>
      <c r="B31" s="10" t="s">
        <v>22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9">
        <v>46254</v>
      </c>
      <c r="B32" s="10" t="s">
        <v>23</v>
      </c>
      <c r="C32" s="1"/>
      <c r="D32" s="11">
        <v>18.600000000000001</v>
      </c>
      <c r="E32" s="12">
        <f t="shared" si="0"/>
        <v>0</v>
      </c>
      <c r="F32" s="1"/>
      <c r="G32" s="1"/>
      <c r="H32" s="1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0</v>
      </c>
      <c r="D34" s="15"/>
      <c r="E34" s="20">
        <f>SUM(E2:E31)</f>
        <v>0</v>
      </c>
      <c r="F34" s="16"/>
      <c r="G34" s="17">
        <f>SUM(G2:G31)</f>
        <v>0</v>
      </c>
      <c r="H34" s="18"/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八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46255</v>
      </c>
      <c r="B2" s="10" t="s">
        <v>24</v>
      </c>
      <c r="C2" s="1"/>
      <c r="D2" s="11">
        <v>18.600000000000001</v>
      </c>
      <c r="E2" s="12">
        <f t="shared" ref="E2:E32" si="0">C2*D2</f>
        <v>0</v>
      </c>
      <c r="F2" s="1"/>
      <c r="G2" s="1"/>
      <c r="H2" s="1"/>
    </row>
    <row r="3" spans="1:8" ht="18" customHeight="1">
      <c r="A3" s="9">
        <v>46256</v>
      </c>
      <c r="B3" s="10" t="s">
        <v>25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46257</v>
      </c>
      <c r="B4" s="10" t="s">
        <v>26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46258</v>
      </c>
      <c r="B5" s="10" t="s">
        <v>27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46259</v>
      </c>
      <c r="B6" s="10" t="s">
        <v>28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46260</v>
      </c>
      <c r="B7" s="10" t="s">
        <v>22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46261</v>
      </c>
      <c r="B8" s="10" t="s">
        <v>23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46262</v>
      </c>
      <c r="B9" s="10" t="s">
        <v>24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46263</v>
      </c>
      <c r="B10" s="10" t="s">
        <v>25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46264</v>
      </c>
      <c r="B11" s="10" t="s">
        <v>26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46265</v>
      </c>
      <c r="B12" s="10" t="s">
        <v>27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46266</v>
      </c>
      <c r="B13" s="10" t="s">
        <v>28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46267</v>
      </c>
      <c r="B14" s="10" t="s">
        <v>22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46268</v>
      </c>
      <c r="B15" s="10" t="s">
        <v>23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46269</v>
      </c>
      <c r="B16" s="10" t="s">
        <v>24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46270</v>
      </c>
      <c r="B17" s="10" t="s">
        <v>25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46271</v>
      </c>
      <c r="B18" s="10" t="s">
        <v>26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46272</v>
      </c>
      <c r="B19" s="10" t="s">
        <v>27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46273</v>
      </c>
      <c r="B20" s="10" t="s">
        <v>28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46274</v>
      </c>
      <c r="B21" s="10" t="s">
        <v>22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46275</v>
      </c>
      <c r="B22" s="10" t="s">
        <v>23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46276</v>
      </c>
      <c r="B23" s="10" t="s">
        <v>24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46277</v>
      </c>
      <c r="B24" s="10" t="s">
        <v>25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46278</v>
      </c>
      <c r="B25" s="10" t="s">
        <v>26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46279</v>
      </c>
      <c r="B26" s="10" t="s">
        <v>27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46280</v>
      </c>
      <c r="B27" s="10" t="s">
        <v>28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46281</v>
      </c>
      <c r="B28" s="10" t="s">
        <v>22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46282</v>
      </c>
      <c r="B29" s="10" t="s">
        <v>23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46283</v>
      </c>
      <c r="B30" s="10" t="s">
        <v>24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46284</v>
      </c>
      <c r="B31" s="10" t="s">
        <v>25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9">
        <v>46285</v>
      </c>
      <c r="B32" s="10" t="s">
        <v>26</v>
      </c>
      <c r="C32" s="1"/>
      <c r="D32" s="11">
        <v>18.600000000000001</v>
      </c>
      <c r="E32" s="12">
        <f t="shared" si="0"/>
        <v>0</v>
      </c>
      <c r="F32" s="1"/>
      <c r="G32" s="1"/>
      <c r="H32" s="1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0</v>
      </c>
      <c r="D34" s="15"/>
      <c r="E34" s="20">
        <f>SUM(E2:E31)</f>
        <v>0</v>
      </c>
      <c r="F34" s="16"/>
      <c r="G34" s="17">
        <f>SUM(G2:G31)</f>
        <v>0</v>
      </c>
      <c r="H34" s="18"/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九月"/>
  <dimension ref="A1:H33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46286</v>
      </c>
      <c r="B2" s="10" t="s">
        <v>27</v>
      </c>
      <c r="C2" s="1"/>
      <c r="D2" s="11">
        <v>18.600000000000001</v>
      </c>
      <c r="E2" s="12">
        <f t="shared" ref="E2:E31" si="0">C2*D2</f>
        <v>0</v>
      </c>
      <c r="F2" s="1"/>
      <c r="G2" s="1"/>
      <c r="H2" s="1"/>
    </row>
    <row r="3" spans="1:8" ht="18" customHeight="1">
      <c r="A3" s="9">
        <v>46287</v>
      </c>
      <c r="B3" s="10" t="s">
        <v>28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46288</v>
      </c>
      <c r="B4" s="10" t="s">
        <v>22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46289</v>
      </c>
      <c r="B5" s="10" t="s">
        <v>23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46290</v>
      </c>
      <c r="B6" s="10" t="s">
        <v>24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46291</v>
      </c>
      <c r="B7" s="10" t="s">
        <v>25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46292</v>
      </c>
      <c r="B8" s="10" t="s">
        <v>26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46293</v>
      </c>
      <c r="B9" s="10" t="s">
        <v>27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46294</v>
      </c>
      <c r="B10" s="10" t="s">
        <v>28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46295</v>
      </c>
      <c r="B11" s="10" t="s">
        <v>22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46296</v>
      </c>
      <c r="B12" s="10" t="s">
        <v>23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46297</v>
      </c>
      <c r="B13" s="10" t="s">
        <v>24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46298</v>
      </c>
      <c r="B14" s="10" t="s">
        <v>25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46299</v>
      </c>
      <c r="B15" s="10" t="s">
        <v>26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46300</v>
      </c>
      <c r="B16" s="10" t="s">
        <v>27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46301</v>
      </c>
      <c r="B17" s="10" t="s">
        <v>28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46302</v>
      </c>
      <c r="B18" s="10" t="s">
        <v>22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46303</v>
      </c>
      <c r="B19" s="10" t="s">
        <v>23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46304</v>
      </c>
      <c r="B20" s="10" t="s">
        <v>24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46305</v>
      </c>
      <c r="B21" s="10" t="s">
        <v>25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46306</v>
      </c>
      <c r="B22" s="10" t="s">
        <v>26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46307</v>
      </c>
      <c r="B23" s="10" t="s">
        <v>27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46308</v>
      </c>
      <c r="B24" s="10" t="s">
        <v>28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46309</v>
      </c>
      <c r="B25" s="10" t="s">
        <v>22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46310</v>
      </c>
      <c r="B26" s="10" t="s">
        <v>23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46311</v>
      </c>
      <c r="B27" s="10" t="s">
        <v>24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46312</v>
      </c>
      <c r="B28" s="10" t="s">
        <v>25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46313</v>
      </c>
      <c r="B29" s="10" t="s">
        <v>26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46314</v>
      </c>
      <c r="B30" s="10" t="s">
        <v>27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46315</v>
      </c>
      <c r="B31" s="10" t="s">
        <v>28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19"/>
      <c r="B32" s="10"/>
      <c r="C32" s="15"/>
      <c r="D32" s="15"/>
      <c r="E32" s="20"/>
      <c r="F32" s="16"/>
      <c r="G32" s="17"/>
      <c r="H32" s="18"/>
    </row>
    <row r="33" spans="1:8" ht="18" customHeight="1">
      <c r="A33" s="21" t="s">
        <v>29</v>
      </c>
      <c r="B33" s="10"/>
      <c r="C33" s="15">
        <f>SUM(C2:C31)</f>
        <v>0</v>
      </c>
      <c r="D33" s="15"/>
      <c r="E33" s="20">
        <f>SUM(E2:E31)</f>
        <v>0</v>
      </c>
      <c r="F33" s="16"/>
      <c r="G33" s="17">
        <f>SUM(G2:G31)</f>
        <v>0</v>
      </c>
      <c r="H33" s="18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十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46316</v>
      </c>
      <c r="B2" s="10" t="s">
        <v>22</v>
      </c>
      <c r="C2" s="1"/>
      <c r="D2" s="11">
        <v>18.600000000000001</v>
      </c>
      <c r="E2" s="12">
        <f t="shared" ref="E2:E32" si="0">C2*D2</f>
        <v>0</v>
      </c>
      <c r="F2" s="1"/>
      <c r="G2" s="1"/>
      <c r="H2" s="1"/>
    </row>
    <row r="3" spans="1:8" ht="18" customHeight="1">
      <c r="A3" s="9">
        <v>46317</v>
      </c>
      <c r="B3" s="10" t="s">
        <v>23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46318</v>
      </c>
      <c r="B4" s="10" t="s">
        <v>24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46319</v>
      </c>
      <c r="B5" s="10" t="s">
        <v>25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46320</v>
      </c>
      <c r="B6" s="10" t="s">
        <v>26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46321</v>
      </c>
      <c r="B7" s="10" t="s">
        <v>27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46322</v>
      </c>
      <c r="B8" s="10" t="s">
        <v>28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46323</v>
      </c>
      <c r="B9" s="10" t="s">
        <v>22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46324</v>
      </c>
      <c r="B10" s="10" t="s">
        <v>23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46325</v>
      </c>
      <c r="B11" s="10" t="s">
        <v>24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46326</v>
      </c>
      <c r="B12" s="10" t="s">
        <v>25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46327</v>
      </c>
      <c r="B13" s="10" t="s">
        <v>26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46328</v>
      </c>
      <c r="B14" s="10" t="s">
        <v>27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46329</v>
      </c>
      <c r="B15" s="10" t="s">
        <v>28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46330</v>
      </c>
      <c r="B16" s="10" t="s">
        <v>22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46331</v>
      </c>
      <c r="B17" s="10" t="s">
        <v>23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46332</v>
      </c>
      <c r="B18" s="10" t="s">
        <v>24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46333</v>
      </c>
      <c r="B19" s="10" t="s">
        <v>25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46334</v>
      </c>
      <c r="B20" s="10" t="s">
        <v>26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46335</v>
      </c>
      <c r="B21" s="10" t="s">
        <v>27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46336</v>
      </c>
      <c r="B22" s="10" t="s">
        <v>28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46337</v>
      </c>
      <c r="B23" s="10" t="s">
        <v>22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46338</v>
      </c>
      <c r="B24" s="10" t="s">
        <v>23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46339</v>
      </c>
      <c r="B25" s="10" t="s">
        <v>24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46340</v>
      </c>
      <c r="B26" s="10" t="s">
        <v>25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46341</v>
      </c>
      <c r="B27" s="10" t="s">
        <v>26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46342</v>
      </c>
      <c r="B28" s="10" t="s">
        <v>27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46343</v>
      </c>
      <c r="B29" s="10" t="s">
        <v>28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46344</v>
      </c>
      <c r="B30" s="10" t="s">
        <v>22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46345</v>
      </c>
      <c r="B31" s="10" t="s">
        <v>23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9">
        <v>46346</v>
      </c>
      <c r="B32" s="10" t="s">
        <v>24</v>
      </c>
      <c r="C32" s="1"/>
      <c r="D32" s="11">
        <v>18.600000000000001</v>
      </c>
      <c r="E32" s="12">
        <f t="shared" si="0"/>
        <v>0</v>
      </c>
      <c r="F32" s="1"/>
      <c r="G32" s="1"/>
      <c r="H32" s="1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0</v>
      </c>
      <c r="D34" s="15"/>
      <c r="E34" s="20">
        <f>SUM(E2:E31)</f>
        <v>0</v>
      </c>
      <c r="F34" s="16"/>
      <c r="G34" s="17">
        <f>SUM(G2:G31)</f>
        <v>0</v>
      </c>
      <c r="H34" s="18"/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十一月"/>
  <dimension ref="A1:H33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46347</v>
      </c>
      <c r="B2" s="10" t="s">
        <v>25</v>
      </c>
      <c r="C2" s="1"/>
      <c r="D2" s="11">
        <v>18.600000000000001</v>
      </c>
      <c r="E2" s="12">
        <f t="shared" ref="E2:E31" si="0">C2*D2</f>
        <v>0</v>
      </c>
      <c r="F2" s="1"/>
      <c r="G2" s="1"/>
      <c r="H2" s="1"/>
    </row>
    <row r="3" spans="1:8" ht="18" customHeight="1">
      <c r="A3" s="9">
        <v>46348</v>
      </c>
      <c r="B3" s="10" t="s">
        <v>26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46349</v>
      </c>
      <c r="B4" s="10" t="s">
        <v>27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46350</v>
      </c>
      <c r="B5" s="10" t="s">
        <v>28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46351</v>
      </c>
      <c r="B6" s="10" t="s">
        <v>22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46352</v>
      </c>
      <c r="B7" s="10" t="s">
        <v>23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46353</v>
      </c>
      <c r="B8" s="10" t="s">
        <v>24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46354</v>
      </c>
      <c r="B9" s="10" t="s">
        <v>25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46355</v>
      </c>
      <c r="B10" s="10" t="s">
        <v>26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46356</v>
      </c>
      <c r="B11" s="10" t="s">
        <v>27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46357</v>
      </c>
      <c r="B12" s="10" t="s">
        <v>28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46358</v>
      </c>
      <c r="B13" s="10" t="s">
        <v>22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46359</v>
      </c>
      <c r="B14" s="10" t="s">
        <v>23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46360</v>
      </c>
      <c r="B15" s="10" t="s">
        <v>24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46361</v>
      </c>
      <c r="B16" s="10" t="s">
        <v>25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46362</v>
      </c>
      <c r="B17" s="10" t="s">
        <v>26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46363</v>
      </c>
      <c r="B18" s="10" t="s">
        <v>27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46364</v>
      </c>
      <c r="B19" s="10" t="s">
        <v>28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46365</v>
      </c>
      <c r="B20" s="10" t="s">
        <v>22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46366</v>
      </c>
      <c r="B21" s="10" t="s">
        <v>23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46367</v>
      </c>
      <c r="B22" s="10" t="s">
        <v>24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46368</v>
      </c>
      <c r="B23" s="10" t="s">
        <v>25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46369</v>
      </c>
      <c r="B24" s="10" t="s">
        <v>26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46370</v>
      </c>
      <c r="B25" s="10" t="s">
        <v>27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46371</v>
      </c>
      <c r="B26" s="10" t="s">
        <v>28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46372</v>
      </c>
      <c r="B27" s="10" t="s">
        <v>22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46373</v>
      </c>
      <c r="B28" s="10" t="s">
        <v>23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46374</v>
      </c>
      <c r="B29" s="10" t="s">
        <v>24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46375</v>
      </c>
      <c r="B30" s="10" t="s">
        <v>25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46376</v>
      </c>
      <c r="B31" s="10" t="s">
        <v>26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19"/>
      <c r="B32" s="10"/>
      <c r="C32" s="15"/>
      <c r="D32" s="15"/>
      <c r="E32" s="20"/>
      <c r="F32" s="16"/>
      <c r="G32" s="17"/>
      <c r="H32" s="18"/>
    </row>
    <row r="33" spans="1:8" ht="18" customHeight="1">
      <c r="A33" s="21" t="s">
        <v>29</v>
      </c>
      <c r="B33" s="10"/>
      <c r="C33" s="15">
        <f>SUM(C2:C31)</f>
        <v>0</v>
      </c>
      <c r="D33" s="15"/>
      <c r="E33" s="20">
        <f>SUM(E2:E31)</f>
        <v>0</v>
      </c>
      <c r="F33" s="16"/>
      <c r="G33" s="17">
        <f>SUM(G2:G31)</f>
        <v>0</v>
      </c>
      <c r="H33" s="18"/>
    </row>
  </sheetData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十二月"/>
  <dimension ref="A1:H34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/>
  <cols>
    <col min="1" max="8" width="13.6640625" customWidth="1"/>
  </cols>
  <sheetData>
    <row r="1" spans="1:8" ht="18" customHeight="1">
      <c r="A1" s="4"/>
      <c r="B1" s="5" t="s">
        <v>16</v>
      </c>
      <c r="C1" s="6" t="s">
        <v>17</v>
      </c>
      <c r="D1" s="7" t="s">
        <v>18</v>
      </c>
      <c r="E1" s="8" t="s">
        <v>19</v>
      </c>
      <c r="F1" s="4" t="s">
        <v>20</v>
      </c>
      <c r="G1" s="4" t="s">
        <v>2</v>
      </c>
      <c r="H1" s="4" t="s">
        <v>21</v>
      </c>
    </row>
    <row r="2" spans="1:8" ht="18" customHeight="1">
      <c r="A2" s="9">
        <v>46377</v>
      </c>
      <c r="B2" s="10" t="s">
        <v>27</v>
      </c>
      <c r="C2" s="1"/>
      <c r="D2" s="11">
        <v>18.600000000000001</v>
      </c>
      <c r="E2" s="12">
        <f t="shared" ref="E2:E32" si="0">C2*D2</f>
        <v>0</v>
      </c>
      <c r="F2" s="1"/>
      <c r="G2" s="1"/>
      <c r="H2" s="1"/>
    </row>
    <row r="3" spans="1:8" ht="18" customHeight="1">
      <c r="A3" s="9">
        <v>46378</v>
      </c>
      <c r="B3" s="10" t="s">
        <v>28</v>
      </c>
      <c r="C3" s="1"/>
      <c r="D3" s="11">
        <v>18.600000000000001</v>
      </c>
      <c r="E3" s="12">
        <f t="shared" si="0"/>
        <v>0</v>
      </c>
      <c r="F3" s="1"/>
      <c r="G3" s="1"/>
      <c r="H3" s="1"/>
    </row>
    <row r="4" spans="1:8" ht="18" customHeight="1">
      <c r="A4" s="9">
        <v>46379</v>
      </c>
      <c r="B4" s="10" t="s">
        <v>22</v>
      </c>
      <c r="C4" s="1"/>
      <c r="D4" s="11">
        <v>18.600000000000001</v>
      </c>
      <c r="E4" s="12">
        <f t="shared" si="0"/>
        <v>0</v>
      </c>
      <c r="F4" s="1"/>
      <c r="G4" s="1"/>
      <c r="H4" s="1"/>
    </row>
    <row r="5" spans="1:8" ht="18" customHeight="1">
      <c r="A5" s="9">
        <v>46380</v>
      </c>
      <c r="B5" s="10" t="s">
        <v>23</v>
      </c>
      <c r="C5" s="1"/>
      <c r="D5" s="11">
        <v>18.600000000000001</v>
      </c>
      <c r="E5" s="12">
        <f t="shared" si="0"/>
        <v>0</v>
      </c>
      <c r="F5" s="1"/>
      <c r="G5" s="1"/>
      <c r="H5" s="1"/>
    </row>
    <row r="6" spans="1:8" ht="18" customHeight="1">
      <c r="A6" s="9">
        <v>46381</v>
      </c>
      <c r="B6" s="10" t="s">
        <v>24</v>
      </c>
      <c r="C6" s="1"/>
      <c r="D6" s="11">
        <v>18.600000000000001</v>
      </c>
      <c r="E6" s="12">
        <f t="shared" si="0"/>
        <v>0</v>
      </c>
      <c r="F6" s="1"/>
      <c r="G6" s="1"/>
      <c r="H6" s="1"/>
    </row>
    <row r="7" spans="1:8" ht="18" customHeight="1">
      <c r="A7" s="9">
        <v>46382</v>
      </c>
      <c r="B7" s="10" t="s">
        <v>25</v>
      </c>
      <c r="C7" s="1"/>
      <c r="D7" s="11">
        <v>18.600000000000001</v>
      </c>
      <c r="E7" s="12">
        <f t="shared" si="0"/>
        <v>0</v>
      </c>
      <c r="F7" s="1"/>
      <c r="G7" s="1"/>
      <c r="H7" s="1"/>
    </row>
    <row r="8" spans="1:8" ht="18" customHeight="1">
      <c r="A8" s="9">
        <v>46383</v>
      </c>
      <c r="B8" s="10" t="s">
        <v>26</v>
      </c>
      <c r="C8" s="1"/>
      <c r="D8" s="11">
        <v>18.600000000000001</v>
      </c>
      <c r="E8" s="12">
        <f t="shared" si="0"/>
        <v>0</v>
      </c>
      <c r="F8" s="1"/>
      <c r="G8" s="1"/>
      <c r="H8" s="1"/>
    </row>
    <row r="9" spans="1:8" ht="18" customHeight="1">
      <c r="A9" s="9">
        <v>46384</v>
      </c>
      <c r="B9" s="10" t="s">
        <v>27</v>
      </c>
      <c r="C9" s="1"/>
      <c r="D9" s="11">
        <v>18.600000000000001</v>
      </c>
      <c r="E9" s="12">
        <f t="shared" si="0"/>
        <v>0</v>
      </c>
      <c r="F9" s="1"/>
      <c r="G9" s="1"/>
      <c r="H9" s="1"/>
    </row>
    <row r="10" spans="1:8" ht="18" customHeight="1">
      <c r="A10" s="9">
        <v>46385</v>
      </c>
      <c r="B10" s="10" t="s">
        <v>28</v>
      </c>
      <c r="C10" s="1"/>
      <c r="D10" s="11">
        <v>18.600000000000001</v>
      </c>
      <c r="E10" s="12">
        <f t="shared" si="0"/>
        <v>0</v>
      </c>
      <c r="F10" s="1"/>
      <c r="G10" s="1"/>
      <c r="H10" s="1"/>
    </row>
    <row r="11" spans="1:8" ht="18" customHeight="1">
      <c r="A11" s="9">
        <v>46386</v>
      </c>
      <c r="B11" s="10" t="s">
        <v>22</v>
      </c>
      <c r="C11" s="1"/>
      <c r="D11" s="11">
        <v>18.600000000000001</v>
      </c>
      <c r="E11" s="12">
        <f t="shared" si="0"/>
        <v>0</v>
      </c>
      <c r="F11" s="1"/>
      <c r="G11" s="1"/>
      <c r="H11" s="1"/>
    </row>
    <row r="12" spans="1:8" ht="18" customHeight="1">
      <c r="A12" s="9">
        <v>46387</v>
      </c>
      <c r="B12" s="10" t="s">
        <v>23</v>
      </c>
      <c r="C12" s="1"/>
      <c r="D12" s="11">
        <v>18.600000000000001</v>
      </c>
      <c r="E12" s="12">
        <f t="shared" si="0"/>
        <v>0</v>
      </c>
      <c r="F12" s="1"/>
      <c r="G12" s="1"/>
      <c r="H12" s="1"/>
    </row>
    <row r="13" spans="1:8" ht="18" customHeight="1">
      <c r="A13" s="9">
        <v>46388</v>
      </c>
      <c r="B13" s="10" t="s">
        <v>24</v>
      </c>
      <c r="C13" s="1"/>
      <c r="D13" s="11">
        <v>18.600000000000001</v>
      </c>
      <c r="E13" s="12">
        <f t="shared" si="0"/>
        <v>0</v>
      </c>
      <c r="F13" s="1"/>
      <c r="G13" s="1"/>
      <c r="H13" s="1"/>
    </row>
    <row r="14" spans="1:8" ht="18" customHeight="1">
      <c r="A14" s="9">
        <v>46389</v>
      </c>
      <c r="B14" s="10" t="s">
        <v>25</v>
      </c>
      <c r="C14" s="1"/>
      <c r="D14" s="11">
        <v>18.600000000000001</v>
      </c>
      <c r="E14" s="12">
        <f t="shared" si="0"/>
        <v>0</v>
      </c>
      <c r="F14" s="1"/>
      <c r="G14" s="1"/>
      <c r="H14" s="1"/>
    </row>
    <row r="15" spans="1:8" ht="18" customHeight="1">
      <c r="A15" s="9">
        <v>46390</v>
      </c>
      <c r="B15" s="10" t="s">
        <v>26</v>
      </c>
      <c r="C15" s="1"/>
      <c r="D15" s="11">
        <v>18.600000000000001</v>
      </c>
      <c r="E15" s="12">
        <f t="shared" si="0"/>
        <v>0</v>
      </c>
      <c r="F15" s="1"/>
      <c r="G15" s="1"/>
      <c r="H15" s="1"/>
    </row>
    <row r="16" spans="1:8" ht="18" customHeight="1">
      <c r="A16" s="9">
        <v>46391</v>
      </c>
      <c r="B16" s="10" t="s">
        <v>27</v>
      </c>
      <c r="C16" s="1"/>
      <c r="D16" s="11">
        <v>18.600000000000001</v>
      </c>
      <c r="E16" s="12">
        <f t="shared" si="0"/>
        <v>0</v>
      </c>
      <c r="F16" s="1"/>
      <c r="G16" s="1"/>
      <c r="H16" s="1"/>
    </row>
    <row r="17" spans="1:8" ht="18" customHeight="1">
      <c r="A17" s="9">
        <v>46392</v>
      </c>
      <c r="B17" s="10" t="s">
        <v>28</v>
      </c>
      <c r="C17" s="1"/>
      <c r="D17" s="11">
        <v>18.600000000000001</v>
      </c>
      <c r="E17" s="12">
        <f t="shared" si="0"/>
        <v>0</v>
      </c>
      <c r="F17" s="1"/>
      <c r="G17" s="1"/>
      <c r="H17" s="1"/>
    </row>
    <row r="18" spans="1:8" ht="18" customHeight="1">
      <c r="A18" s="9">
        <v>46393</v>
      </c>
      <c r="B18" s="10" t="s">
        <v>22</v>
      </c>
      <c r="C18" s="1"/>
      <c r="D18" s="11">
        <v>18.600000000000001</v>
      </c>
      <c r="E18" s="12">
        <f t="shared" si="0"/>
        <v>0</v>
      </c>
      <c r="F18" s="1"/>
      <c r="G18" s="1"/>
      <c r="H18" s="1"/>
    </row>
    <row r="19" spans="1:8" ht="18" customHeight="1">
      <c r="A19" s="9">
        <v>46394</v>
      </c>
      <c r="B19" s="10" t="s">
        <v>23</v>
      </c>
      <c r="C19" s="1"/>
      <c r="D19" s="11">
        <v>18.600000000000001</v>
      </c>
      <c r="E19" s="12">
        <f t="shared" si="0"/>
        <v>0</v>
      </c>
      <c r="F19" s="1"/>
      <c r="G19" s="1"/>
      <c r="H19" s="1"/>
    </row>
    <row r="20" spans="1:8" ht="18" customHeight="1">
      <c r="A20" s="9">
        <v>46395</v>
      </c>
      <c r="B20" s="10" t="s">
        <v>24</v>
      </c>
      <c r="C20" s="1"/>
      <c r="D20" s="11">
        <v>18.600000000000001</v>
      </c>
      <c r="E20" s="12">
        <f t="shared" si="0"/>
        <v>0</v>
      </c>
      <c r="F20" s="1"/>
      <c r="G20" s="1"/>
      <c r="H20" s="1"/>
    </row>
    <row r="21" spans="1:8" ht="18" customHeight="1">
      <c r="A21" s="9">
        <v>46396</v>
      </c>
      <c r="B21" s="10" t="s">
        <v>25</v>
      </c>
      <c r="C21" s="1"/>
      <c r="D21" s="11">
        <v>18.600000000000001</v>
      </c>
      <c r="E21" s="12">
        <f t="shared" si="0"/>
        <v>0</v>
      </c>
      <c r="F21" s="1"/>
      <c r="G21" s="1"/>
      <c r="H21" s="1"/>
    </row>
    <row r="22" spans="1:8" ht="18" customHeight="1">
      <c r="A22" s="9">
        <v>46397</v>
      </c>
      <c r="B22" s="10" t="s">
        <v>26</v>
      </c>
      <c r="C22" s="1"/>
      <c r="D22" s="11">
        <v>18.600000000000001</v>
      </c>
      <c r="E22" s="12">
        <f t="shared" si="0"/>
        <v>0</v>
      </c>
      <c r="F22" s="1"/>
      <c r="G22" s="1"/>
      <c r="H22" s="1"/>
    </row>
    <row r="23" spans="1:8" ht="18" customHeight="1">
      <c r="A23" s="9">
        <v>46398</v>
      </c>
      <c r="B23" s="10" t="s">
        <v>27</v>
      </c>
      <c r="C23" s="1"/>
      <c r="D23" s="11">
        <v>18.600000000000001</v>
      </c>
      <c r="E23" s="12">
        <f t="shared" si="0"/>
        <v>0</v>
      </c>
      <c r="F23" s="1"/>
      <c r="G23" s="1"/>
      <c r="H23" s="1"/>
    </row>
    <row r="24" spans="1:8" ht="18" customHeight="1">
      <c r="A24" s="9">
        <v>46399</v>
      </c>
      <c r="B24" s="10" t="s">
        <v>28</v>
      </c>
      <c r="C24" s="1"/>
      <c r="D24" s="11">
        <v>18.600000000000001</v>
      </c>
      <c r="E24" s="12">
        <f t="shared" si="0"/>
        <v>0</v>
      </c>
      <c r="F24" s="1"/>
      <c r="G24" s="1"/>
      <c r="H24" s="1"/>
    </row>
    <row r="25" spans="1:8" ht="18" customHeight="1">
      <c r="A25" s="9">
        <v>46400</v>
      </c>
      <c r="B25" s="10" t="s">
        <v>22</v>
      </c>
      <c r="C25" s="1"/>
      <c r="D25" s="11">
        <v>18.600000000000001</v>
      </c>
      <c r="E25" s="12">
        <f t="shared" si="0"/>
        <v>0</v>
      </c>
      <c r="F25" s="1"/>
      <c r="G25" s="1"/>
      <c r="H25" s="1"/>
    </row>
    <row r="26" spans="1:8" ht="18" customHeight="1">
      <c r="A26" s="9">
        <v>46401</v>
      </c>
      <c r="B26" s="10" t="s">
        <v>23</v>
      </c>
      <c r="C26" s="1"/>
      <c r="D26" s="11">
        <v>18.600000000000001</v>
      </c>
      <c r="E26" s="12">
        <f t="shared" si="0"/>
        <v>0</v>
      </c>
      <c r="F26" s="1"/>
      <c r="G26" s="1"/>
      <c r="H26" s="1"/>
    </row>
    <row r="27" spans="1:8" ht="18" customHeight="1">
      <c r="A27" s="9">
        <v>46402</v>
      </c>
      <c r="B27" s="10" t="s">
        <v>24</v>
      </c>
      <c r="C27" s="1"/>
      <c r="D27" s="11">
        <v>18.600000000000001</v>
      </c>
      <c r="E27" s="12">
        <f t="shared" si="0"/>
        <v>0</v>
      </c>
      <c r="F27" s="1"/>
      <c r="G27" s="1"/>
      <c r="H27" s="1"/>
    </row>
    <row r="28" spans="1:8" ht="18" customHeight="1">
      <c r="A28" s="9">
        <v>46403</v>
      </c>
      <c r="B28" s="10" t="s">
        <v>25</v>
      </c>
      <c r="C28" s="1"/>
      <c r="D28" s="11">
        <v>18.600000000000001</v>
      </c>
      <c r="E28" s="12">
        <f t="shared" si="0"/>
        <v>0</v>
      </c>
      <c r="F28" s="1"/>
      <c r="G28" s="1"/>
      <c r="H28" s="1"/>
    </row>
    <row r="29" spans="1:8" ht="18" customHeight="1">
      <c r="A29" s="9">
        <v>46404</v>
      </c>
      <c r="B29" s="10" t="s">
        <v>26</v>
      </c>
      <c r="C29" s="1"/>
      <c r="D29" s="11">
        <v>18.600000000000001</v>
      </c>
      <c r="E29" s="12">
        <f t="shared" si="0"/>
        <v>0</v>
      </c>
      <c r="F29" s="1"/>
      <c r="G29" s="1"/>
      <c r="H29" s="1"/>
    </row>
    <row r="30" spans="1:8" ht="18" customHeight="1">
      <c r="A30" s="9">
        <v>46405</v>
      </c>
      <c r="B30" s="10" t="s">
        <v>27</v>
      </c>
      <c r="C30" s="1"/>
      <c r="D30" s="11">
        <v>18.600000000000001</v>
      </c>
      <c r="E30" s="12">
        <f t="shared" si="0"/>
        <v>0</v>
      </c>
      <c r="F30" s="1"/>
      <c r="G30" s="1"/>
      <c r="H30" s="1"/>
    </row>
    <row r="31" spans="1:8" ht="18" customHeight="1">
      <c r="A31" s="9">
        <v>46406</v>
      </c>
      <c r="B31" s="10" t="s">
        <v>28</v>
      </c>
      <c r="C31" s="1"/>
      <c r="D31" s="11">
        <v>18.600000000000001</v>
      </c>
      <c r="E31" s="12">
        <f t="shared" si="0"/>
        <v>0</v>
      </c>
      <c r="F31" s="1"/>
      <c r="G31" s="1"/>
      <c r="H31" s="1"/>
    </row>
    <row r="32" spans="1:8" ht="18" customHeight="1">
      <c r="A32" s="9">
        <v>46407</v>
      </c>
      <c r="B32" s="10" t="s">
        <v>22</v>
      </c>
      <c r="C32" s="1"/>
      <c r="D32" s="11">
        <v>18.600000000000001</v>
      </c>
      <c r="E32" s="12">
        <f t="shared" si="0"/>
        <v>0</v>
      </c>
      <c r="F32" s="1"/>
      <c r="G32" s="1"/>
      <c r="H32" s="1"/>
    </row>
    <row r="33" spans="1:8" ht="18" customHeight="1">
      <c r="A33" s="19"/>
      <c r="B33" s="10"/>
      <c r="C33" s="15"/>
      <c r="D33" s="15"/>
      <c r="E33" s="20"/>
      <c r="F33" s="16"/>
      <c r="G33" s="17"/>
      <c r="H33" s="18"/>
    </row>
    <row r="34" spans="1:8" ht="18" customHeight="1">
      <c r="A34" s="21" t="s">
        <v>29</v>
      </c>
      <c r="B34" s="10"/>
      <c r="C34" s="15">
        <f>SUM(C2:C31)</f>
        <v>0</v>
      </c>
      <c r="D34" s="15"/>
      <c r="E34" s="20">
        <f>SUM(E2:E31)</f>
        <v>0</v>
      </c>
      <c r="F34" s="16"/>
      <c r="G34" s="17">
        <f>SUM(G2:G31)</f>
        <v>0</v>
      </c>
      <c r="H34" s="18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总计</vt:lpstr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杨</cp:lastModifiedBy>
  <dcterms:created xsi:type="dcterms:W3CDTF">2026-05-15T17:18:40Z</dcterms:created>
  <dcterms:modified xsi:type="dcterms:W3CDTF">2026-05-17T23:14:07Z</dcterms:modified>
</cp:coreProperties>
</file>